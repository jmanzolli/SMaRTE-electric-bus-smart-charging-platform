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02168555-D506-E148-9199-E13BC2FF267A}" xr6:coauthVersionLast="47" xr6:coauthVersionMax="47" xr10:uidLastSave="{00000000-0000-0000-0000-000000000000}"/>
  <bookViews>
    <workbookView xWindow="-37880" yWindow="-1460" windowWidth="36000" windowHeight="21100" activeTab="3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Power price" sheetId="11" r:id="rId5"/>
    <sheet name="Prices" sheetId="7" r:id="rId6"/>
    <sheet name="Average prices" sheetId="8" r:id="rId7"/>
    <sheet name="Peri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G2" i="8"/>
  <c r="H2" i="8"/>
  <c r="I2" i="8"/>
  <c r="F3" i="8"/>
  <c r="G3" i="8"/>
  <c r="H3" i="8"/>
  <c r="I3" i="8"/>
  <c r="F4" i="8"/>
  <c r="G4" i="8"/>
  <c r="H4" i="8"/>
  <c r="I4" i="8"/>
  <c r="F5" i="8"/>
  <c r="G5" i="8"/>
  <c r="H5" i="8"/>
  <c r="I5" i="8"/>
  <c r="F6" i="8"/>
  <c r="G6" i="8"/>
  <c r="H6" i="8"/>
  <c r="I6" i="8"/>
  <c r="F7" i="8"/>
  <c r="G7" i="8"/>
  <c r="H7" i="8"/>
  <c r="I7" i="8"/>
  <c r="B5" i="11"/>
  <c r="B6" i="11"/>
  <c r="B7" i="11"/>
  <c r="B8" i="11"/>
  <c r="B9" i="11"/>
  <c r="B10" i="11"/>
  <c r="A5" i="11"/>
  <c r="A6" i="11"/>
  <c r="A7" i="11"/>
  <c r="A8" i="11"/>
  <c r="A9" i="11"/>
  <c r="A10" i="11"/>
  <c r="E4" i="4"/>
  <c r="I4" i="4" s="1"/>
  <c r="E5" i="4"/>
  <c r="C5" i="4" s="1"/>
  <c r="A5" i="4" s="1"/>
  <c r="E6" i="4"/>
  <c r="I6" i="4" s="1"/>
  <c r="E7" i="4"/>
  <c r="C7" i="4" s="1"/>
  <c r="A7" i="4" s="1"/>
  <c r="E8" i="4"/>
  <c r="I8" i="4" s="1"/>
  <c r="E9" i="4"/>
  <c r="C9" i="4" s="1"/>
  <c r="A9" i="4" s="1"/>
  <c r="I9" i="4"/>
  <c r="E10" i="4"/>
  <c r="I10" i="4" s="1"/>
  <c r="E11" i="4"/>
  <c r="C11" i="4" s="1"/>
  <c r="A11" i="4" s="1"/>
  <c r="I11" i="4"/>
  <c r="B4" i="3"/>
  <c r="B5" i="3"/>
  <c r="B6" i="3"/>
  <c r="B7" i="3"/>
  <c r="B8" i="3"/>
  <c r="B9" i="3"/>
  <c r="B10" i="3"/>
  <c r="B11" i="3"/>
  <c r="A4" i="3"/>
  <c r="A5" i="3"/>
  <c r="A6" i="3"/>
  <c r="A7" i="3"/>
  <c r="A8" i="3"/>
  <c r="A9" i="3"/>
  <c r="A10" i="3"/>
  <c r="A11" i="3"/>
  <c r="A9" i="2"/>
  <c r="A4" i="2"/>
  <c r="A5" i="2"/>
  <c r="A6" i="2"/>
  <c r="A7" i="2"/>
  <c r="A8" i="2"/>
  <c r="B4" i="11"/>
  <c r="A4" i="11"/>
  <c r="A3" i="2"/>
  <c r="C2" i="11"/>
  <c r="D6" i="9"/>
  <c r="D7" i="9"/>
  <c r="D2" i="11"/>
  <c r="B3" i="11"/>
  <c r="D5" i="9"/>
  <c r="D4" i="9"/>
  <c r="D3" i="9"/>
  <c r="D2" i="9"/>
  <c r="E2" i="4"/>
  <c r="E3" i="4"/>
  <c r="I7" i="4" l="1"/>
  <c r="C4" i="4"/>
  <c r="A4" i="4" s="1"/>
  <c r="I5" i="4"/>
  <c r="C6" i="4"/>
  <c r="A6" i="4" s="1"/>
  <c r="C10" i="4"/>
  <c r="A10" i="4" s="1"/>
  <c r="C8" i="4"/>
  <c r="A8" i="4" s="1"/>
  <c r="I3" i="4"/>
  <c r="I2" i="4"/>
  <c r="C2" i="4" l="1"/>
  <c r="A2" i="4" s="1"/>
  <c r="C3" i="4"/>
  <c r="A3" i="4" s="1"/>
  <c r="B3" i="3" l="1"/>
  <c r="A3" i="3"/>
  <c r="B2" i="3"/>
  <c r="A2" i="3"/>
  <c r="C2" i="2"/>
  <c r="A2" i="2" l="1"/>
  <c r="D2" i="2" s="1"/>
  <c r="E2" i="11"/>
  <c r="B2" i="11" s="1"/>
  <c r="A2" i="11"/>
  <c r="A3" i="11" s="1"/>
</calcChain>
</file>

<file path=xl/sharedStrings.xml><?xml version="1.0" encoding="utf-8"?>
<sst xmlns="http://schemas.openxmlformats.org/spreadsheetml/2006/main" count="42" uniqueCount="42">
  <si>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</si>
  <si>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</si>
  <si>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</si>
  <si>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</si>
  <si>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</si>
  <si>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</si>
  <si>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</si>
  <si>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</si>
  <si>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</si>
  <si>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</si>
  <si>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</si>
  <si>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</si>
  <si>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</si>
  <si>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</si>
  <si>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</si>
  <si>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</si>
  <si>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</si>
  <si>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Spot Market</t>
  </si>
  <si>
    <t>Max price</t>
  </si>
  <si>
    <t>Min price</t>
  </si>
  <si>
    <t>Power</t>
  </si>
  <si>
    <t>Price</t>
  </si>
  <si>
    <t>Power [total]</t>
  </si>
  <si>
    <t>Peak price (€/day)</t>
  </si>
  <si>
    <t>Capacity price</t>
  </si>
  <si>
    <t>Max cap</t>
  </si>
  <si>
    <t>Min cap</t>
  </si>
  <si>
    <t>Period</t>
  </si>
  <si>
    <t>Begin</t>
  </si>
  <si>
    <t>End</t>
  </si>
  <si>
    <t>Len</t>
  </si>
  <si>
    <t>Ratio</t>
  </si>
  <si>
    <t>Time</t>
  </si>
  <si>
    <t>Averages</t>
  </si>
  <si>
    <t>[1-16]</t>
  </si>
  <si>
    <t>[17-32]</t>
  </si>
  <si>
    <t>[33-48]</t>
  </si>
  <si>
    <t>[49-64]</t>
  </si>
  <si>
    <t>[65-80]</t>
  </si>
  <si>
    <t>[81-96]</t>
  </si>
  <si>
    <t>Deviation</t>
  </si>
  <si>
    <t>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</si>
</sst>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11"/>
  <sheetViews>
    <sheetView workbookViewId="0">
      <selection activeCell="C9" sqref="C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250</v>
      </c>
    </row>
    <row r="3" spans="1:1" x14ac:dyDescent="0.2">
      <c r="A3">
        <v>250</v>
      </c>
    </row>
    <row r="4" spans="1:1" x14ac:dyDescent="0.2">
      <c r="A4">
        <v>250</v>
      </c>
    </row>
    <row r="5" spans="1:1" x14ac:dyDescent="0.2">
      <c r="A5">
        <v>250</v>
      </c>
    </row>
    <row r="6" spans="1:1" x14ac:dyDescent="0.2">
      <c r="A6">
        <v>250</v>
      </c>
    </row>
    <row r="7" spans="1:1" x14ac:dyDescent="0.2">
      <c r="A7">
        <v>250</v>
      </c>
    </row>
    <row r="8" spans="1:1" x14ac:dyDescent="0.2">
      <c r="A8">
        <v>250</v>
      </c>
    </row>
    <row r="9" spans="1:1" x14ac:dyDescent="0.2">
      <c r="A9">
        <v>250</v>
      </c>
    </row>
    <row r="10" spans="1:1" x14ac:dyDescent="0.2">
      <c r="A10">
        <v>250</v>
      </c>
    </row>
    <row r="11" spans="1:1" x14ac:dyDescent="0.2">
      <c r="A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9"/>
  <sheetViews>
    <sheetView workbookViewId="0">
      <selection activeCell="B15" sqref="B15"/>
    </sheetView>
  </sheetViews>
  <sheetFormatPr baseColWidth="10" defaultRowHeight="16" x14ac:dyDescent="0.2"/>
  <cols>
    <col min="2" max="2" width="12.332031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400</v>
      </c>
    </row>
    <row r="3" spans="1:4" x14ac:dyDescent="0.2">
      <c r="A3">
        <f>B3/$C$2</f>
        <v>50</v>
      </c>
      <c r="B3">
        <v>200</v>
      </c>
    </row>
    <row r="4" spans="1:4" x14ac:dyDescent="0.2">
      <c r="A4">
        <f t="shared" ref="A4:A9" si="0">B4/$C$2</f>
        <v>50</v>
      </c>
      <c r="B4">
        <v>200</v>
      </c>
    </row>
    <row r="5" spans="1:4" x14ac:dyDescent="0.2">
      <c r="A5">
        <f t="shared" si="0"/>
        <v>50</v>
      </c>
      <c r="B5">
        <v>200</v>
      </c>
    </row>
    <row r="6" spans="1:4" x14ac:dyDescent="0.2">
      <c r="A6">
        <f t="shared" si="0"/>
        <v>50</v>
      </c>
      <c r="B6">
        <v>200</v>
      </c>
    </row>
    <row r="7" spans="1:4" x14ac:dyDescent="0.2">
      <c r="A7">
        <f t="shared" si="0"/>
        <v>50</v>
      </c>
      <c r="B7">
        <v>200</v>
      </c>
    </row>
    <row r="8" spans="1:4" x14ac:dyDescent="0.2">
      <c r="A8">
        <f t="shared" si="0"/>
        <v>50</v>
      </c>
      <c r="B8">
        <v>200</v>
      </c>
    </row>
    <row r="9" spans="1:4" x14ac:dyDescent="0.2">
      <c r="A9">
        <f t="shared" si="0"/>
        <v>50</v>
      </c>
      <c r="B9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11"/>
  <sheetViews>
    <sheetView zoomScaleNormal="100" workbookViewId="0">
      <selection activeCell="F2" sqref="F2:F11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 t="shared" ref="A2:B11" si="0">ROUND(CONVERT(C2,"hr","mn")/15,0)</f>
        <v>30</v>
      </c>
      <c r="B2">
        <f t="shared" si="0"/>
        <v>86</v>
      </c>
      <c r="C2">
        <v>7.5</v>
      </c>
      <c r="D2">
        <v>21.5</v>
      </c>
    </row>
    <row r="3" spans="1:4" x14ac:dyDescent="0.2">
      <c r="A3">
        <f t="shared" si="0"/>
        <v>32</v>
      </c>
      <c r="B3">
        <f t="shared" si="0"/>
        <v>80</v>
      </c>
      <c r="C3">
        <v>8</v>
      </c>
      <c r="D3">
        <v>20</v>
      </c>
    </row>
    <row r="4" spans="1:4" x14ac:dyDescent="0.2">
      <c r="A4">
        <f t="shared" si="0"/>
        <v>24</v>
      </c>
      <c r="B4">
        <f t="shared" si="0"/>
        <v>76</v>
      </c>
      <c r="C4">
        <v>6</v>
      </c>
      <c r="D4">
        <v>19</v>
      </c>
    </row>
    <row r="5" spans="1:4" x14ac:dyDescent="0.2">
      <c r="A5">
        <f t="shared" si="0"/>
        <v>34</v>
      </c>
      <c r="B5">
        <f t="shared" si="0"/>
        <v>84</v>
      </c>
      <c r="C5">
        <v>8.5</v>
      </c>
      <c r="D5">
        <v>21</v>
      </c>
    </row>
    <row r="6" spans="1:4" x14ac:dyDescent="0.2">
      <c r="A6">
        <f t="shared" si="0"/>
        <v>32</v>
      </c>
      <c r="B6">
        <f t="shared" si="0"/>
        <v>92</v>
      </c>
      <c r="C6">
        <v>8</v>
      </c>
      <c r="D6">
        <v>23</v>
      </c>
    </row>
    <row r="7" spans="1:4" x14ac:dyDescent="0.2">
      <c r="A7">
        <f t="shared" si="0"/>
        <v>28</v>
      </c>
      <c r="B7">
        <f t="shared" si="0"/>
        <v>88</v>
      </c>
      <c r="C7">
        <v>7</v>
      </c>
      <c r="D7">
        <v>22</v>
      </c>
    </row>
    <row r="8" spans="1:4" x14ac:dyDescent="0.2">
      <c r="A8">
        <f t="shared" si="0"/>
        <v>29</v>
      </c>
      <c r="B8">
        <f t="shared" si="0"/>
        <v>86</v>
      </c>
      <c r="C8">
        <v>7.25</v>
      </c>
      <c r="D8">
        <v>21.5</v>
      </c>
    </row>
    <row r="9" spans="1:4" x14ac:dyDescent="0.2">
      <c r="A9">
        <f t="shared" si="0"/>
        <v>28</v>
      </c>
      <c r="B9">
        <f t="shared" si="0"/>
        <v>86</v>
      </c>
      <c r="C9">
        <v>7</v>
      </c>
      <c r="D9">
        <v>21.5</v>
      </c>
    </row>
    <row r="10" spans="1:4" x14ac:dyDescent="0.2">
      <c r="A10">
        <f t="shared" si="0"/>
        <v>24</v>
      </c>
      <c r="B10">
        <f t="shared" si="0"/>
        <v>84</v>
      </c>
      <c r="C10">
        <v>6</v>
      </c>
      <c r="D10">
        <v>21</v>
      </c>
    </row>
    <row r="11" spans="1:4" x14ac:dyDescent="0.2">
      <c r="A11">
        <f t="shared" si="0"/>
        <v>22</v>
      </c>
      <c r="B11">
        <f t="shared" si="0"/>
        <v>80</v>
      </c>
      <c r="C11">
        <v>5.5</v>
      </c>
      <c r="D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J11"/>
  <sheetViews>
    <sheetView tabSelected="1" workbookViewId="0">
      <selection activeCell="H17" sqref="H17"/>
    </sheetView>
  </sheetViews>
  <sheetFormatPr baseColWidth="10" defaultRowHeight="16" x14ac:dyDescent="0.2"/>
  <cols>
    <col min="3" max="3" width="21.83203125" customWidth="1"/>
    <col min="4" max="4" width="26.1640625" customWidth="1"/>
    <col min="5" max="5" width="30.83203125" customWidth="1"/>
    <col min="8" max="8" width="24" customWidth="1"/>
    <col min="9" max="9" width="30.6640625" customWidth="1"/>
  </cols>
  <sheetData>
    <row r="1" spans="1:10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/>
    </row>
    <row r="2" spans="1:10" x14ac:dyDescent="0.2">
      <c r="A2">
        <f>C2*$H$2</f>
        <v>3.5999999999999996</v>
      </c>
      <c r="C2">
        <f>D2+E2*F2*G2</f>
        <v>1.2</v>
      </c>
      <c r="D2" s="3">
        <v>1.2</v>
      </c>
      <c r="E2" s="3">
        <f>D2*0.1</f>
        <v>0.12</v>
      </c>
      <c r="F2" s="1">
        <v>1</v>
      </c>
      <c r="G2" s="1">
        <v>0</v>
      </c>
      <c r="H2">
        <v>3</v>
      </c>
      <c r="I2" s="3">
        <f t="shared" ref="I2:I11" si="0">E2*$H$2</f>
        <v>0.36</v>
      </c>
      <c r="J2" s="2"/>
    </row>
    <row r="3" spans="1:10" x14ac:dyDescent="0.2">
      <c r="A3">
        <f>C3*$H$2</f>
        <v>3.5999999999999996</v>
      </c>
      <c r="C3">
        <f>D3+E3*F3*G3</f>
        <v>1.2</v>
      </c>
      <c r="D3" s="3">
        <v>1.2</v>
      </c>
      <c r="E3" s="3">
        <f>D3*0.1</f>
        <v>0.12</v>
      </c>
      <c r="F3" s="1">
        <v>1</v>
      </c>
      <c r="G3" s="1">
        <v>0</v>
      </c>
      <c r="I3" s="3">
        <f t="shared" si="0"/>
        <v>0.36</v>
      </c>
      <c r="J3" s="2"/>
    </row>
    <row r="4" spans="1:10" x14ac:dyDescent="0.2">
      <c r="A4">
        <f t="shared" ref="A4:A11" si="1">C4*$H$2</f>
        <v>3.5999999999999996</v>
      </c>
      <c r="C4">
        <f t="shared" ref="C4:C11" si="2">D4+E4*F4*G4</f>
        <v>1.2</v>
      </c>
      <c r="D4" s="3">
        <v>1.2</v>
      </c>
      <c r="E4" s="3">
        <f t="shared" ref="E4:E11" si="3">D4*0.1</f>
        <v>0.12</v>
      </c>
      <c r="F4" s="1">
        <v>1</v>
      </c>
      <c r="G4" s="1">
        <v>0</v>
      </c>
      <c r="I4" s="3">
        <f t="shared" si="0"/>
        <v>0.36</v>
      </c>
      <c r="J4" s="2"/>
    </row>
    <row r="5" spans="1:10" x14ac:dyDescent="0.2">
      <c r="A5">
        <f t="shared" si="1"/>
        <v>3.5999999999999996</v>
      </c>
      <c r="C5">
        <f t="shared" si="2"/>
        <v>1.2</v>
      </c>
      <c r="D5" s="3">
        <v>1.2</v>
      </c>
      <c r="E5" s="3">
        <f t="shared" si="3"/>
        <v>0.12</v>
      </c>
      <c r="F5" s="1">
        <v>1</v>
      </c>
      <c r="G5" s="1">
        <v>0</v>
      </c>
      <c r="I5" s="3">
        <f t="shared" si="0"/>
        <v>0.36</v>
      </c>
      <c r="J5" s="2"/>
    </row>
    <row r="6" spans="1:10" x14ac:dyDescent="0.2">
      <c r="A6">
        <f t="shared" si="1"/>
        <v>3.5999999999999996</v>
      </c>
      <c r="C6">
        <f t="shared" si="2"/>
        <v>1.2</v>
      </c>
      <c r="D6" s="3">
        <v>1.2</v>
      </c>
      <c r="E6" s="3">
        <f t="shared" si="3"/>
        <v>0.12</v>
      </c>
      <c r="F6" s="1">
        <v>1</v>
      </c>
      <c r="G6" s="1">
        <v>0</v>
      </c>
      <c r="I6" s="3">
        <f t="shared" si="0"/>
        <v>0.36</v>
      </c>
      <c r="J6" s="2"/>
    </row>
    <row r="7" spans="1:10" x14ac:dyDescent="0.2">
      <c r="A7">
        <f t="shared" si="1"/>
        <v>3.5999999999999996</v>
      </c>
      <c r="C7">
        <f t="shared" si="2"/>
        <v>1.2</v>
      </c>
      <c r="D7" s="3">
        <v>1.2</v>
      </c>
      <c r="E7" s="3">
        <f t="shared" si="3"/>
        <v>0.12</v>
      </c>
      <c r="F7" s="1">
        <v>1</v>
      </c>
      <c r="G7" s="1">
        <v>0</v>
      </c>
      <c r="I7" s="3">
        <f t="shared" si="0"/>
        <v>0.36</v>
      </c>
      <c r="J7" s="2"/>
    </row>
    <row r="8" spans="1:10" x14ac:dyDescent="0.2">
      <c r="A8">
        <f t="shared" si="1"/>
        <v>3.5999999999999996</v>
      </c>
      <c r="C8">
        <f t="shared" si="2"/>
        <v>1.2</v>
      </c>
      <c r="D8" s="3">
        <v>1.2</v>
      </c>
      <c r="E8" s="3">
        <f t="shared" si="3"/>
        <v>0.12</v>
      </c>
      <c r="F8" s="1">
        <v>1</v>
      </c>
      <c r="G8" s="1">
        <v>0</v>
      </c>
      <c r="I8" s="3">
        <f t="shared" si="0"/>
        <v>0.36</v>
      </c>
      <c r="J8" s="2"/>
    </row>
    <row r="9" spans="1:10" x14ac:dyDescent="0.2">
      <c r="A9">
        <f t="shared" si="1"/>
        <v>3.5999999999999996</v>
      </c>
      <c r="C9">
        <f t="shared" si="2"/>
        <v>1.2</v>
      </c>
      <c r="D9" s="3">
        <v>1.2</v>
      </c>
      <c r="E9" s="3">
        <f t="shared" si="3"/>
        <v>0.12</v>
      </c>
      <c r="F9" s="1">
        <v>1</v>
      </c>
      <c r="G9" s="1">
        <v>0</v>
      </c>
      <c r="I9" s="3">
        <f t="shared" si="0"/>
        <v>0.36</v>
      </c>
      <c r="J9" s="2"/>
    </row>
    <row r="10" spans="1:10" x14ac:dyDescent="0.2">
      <c r="A10">
        <f t="shared" si="1"/>
        <v>3.5999999999999996</v>
      </c>
      <c r="C10">
        <f t="shared" si="2"/>
        <v>1.2</v>
      </c>
      <c r="D10" s="3">
        <v>1.2</v>
      </c>
      <c r="E10" s="3">
        <f t="shared" si="3"/>
        <v>0.12</v>
      </c>
      <c r="F10" s="1">
        <v>1</v>
      </c>
      <c r="G10" s="1">
        <v>0</v>
      </c>
      <c r="I10" s="3">
        <f t="shared" si="0"/>
        <v>0.36</v>
      </c>
      <c r="J10" s="2"/>
    </row>
    <row r="11" spans="1:10" x14ac:dyDescent="0.2">
      <c r="A11">
        <f t="shared" si="1"/>
        <v>3.5999999999999996</v>
      </c>
      <c r="C11">
        <f t="shared" si="2"/>
        <v>1.2</v>
      </c>
      <c r="D11" s="3">
        <v>1.2</v>
      </c>
      <c r="E11" s="3">
        <f t="shared" si="3"/>
        <v>0.12</v>
      </c>
      <c r="F11" s="1">
        <v>1</v>
      </c>
      <c r="G11" s="1">
        <v>0</v>
      </c>
      <c r="I11" s="3">
        <f t="shared" si="0"/>
        <v>0.36</v>
      </c>
      <c r="J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D1A9-B8EC-F349-AEB9-41982E9A70ED}">
  <dimension ref="A1:E10"/>
  <sheetViews>
    <sheetView workbookViewId="0">
      <selection activeCell="E12" sqref="E12"/>
    </sheetView>
  </sheetViews>
  <sheetFormatPr baseColWidth="10" defaultRowHeight="16" x14ac:dyDescent="0.2"/>
  <cols>
    <col min="3" max="3" width="12.6640625" customWidth="1"/>
    <col min="4" max="4" width="16" customWidth="1"/>
  </cols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31</v>
      </c>
    </row>
    <row r="2" spans="1:5" x14ac:dyDescent="0.2">
      <c r="A2">
        <f>(C2)/4</f>
        <v>50</v>
      </c>
      <c r="B2">
        <f>$D$2*E2</f>
        <v>1.7124999999999999</v>
      </c>
      <c r="C2">
        <f>Chargers!B2</f>
        <v>200</v>
      </c>
      <c r="D2">
        <f>1.7125</f>
        <v>1.7124999999999999</v>
      </c>
      <c r="E2">
        <f>C2/$C$2</f>
        <v>1</v>
      </c>
    </row>
    <row r="3" spans="1:5" x14ac:dyDescent="0.2">
      <c r="A3">
        <f>$A$2*E3</f>
        <v>100</v>
      </c>
      <c r="B3">
        <f>$D$2*E3</f>
        <v>3.4249999999999998</v>
      </c>
      <c r="E3">
        <v>2</v>
      </c>
    </row>
    <row r="4" spans="1:5" x14ac:dyDescent="0.2">
      <c r="A4">
        <f>$A$2*E4</f>
        <v>150</v>
      </c>
      <c r="B4">
        <f>$D$2*E4</f>
        <v>5.1374999999999993</v>
      </c>
      <c r="E4">
        <v>3</v>
      </c>
    </row>
    <row r="5" spans="1:5" x14ac:dyDescent="0.2">
      <c r="A5">
        <f t="shared" ref="A5:A10" si="0">$A$2*E5</f>
        <v>200</v>
      </c>
      <c r="B5">
        <f t="shared" ref="B5:B10" si="1">$D$2*E5</f>
        <v>6.85</v>
      </c>
      <c r="E5">
        <v>4</v>
      </c>
    </row>
    <row r="6" spans="1:5" x14ac:dyDescent="0.2">
      <c r="A6">
        <f t="shared" si="0"/>
        <v>250</v>
      </c>
      <c r="B6">
        <f t="shared" si="1"/>
        <v>8.5625</v>
      </c>
      <c r="E6">
        <v>5</v>
      </c>
    </row>
    <row r="7" spans="1:5" x14ac:dyDescent="0.2">
      <c r="A7">
        <f t="shared" si="0"/>
        <v>300</v>
      </c>
      <c r="B7">
        <f t="shared" si="1"/>
        <v>10.274999999999999</v>
      </c>
      <c r="E7">
        <v>6</v>
      </c>
    </row>
    <row r="8" spans="1:5" x14ac:dyDescent="0.2">
      <c r="A8">
        <f t="shared" si="0"/>
        <v>350</v>
      </c>
      <c r="B8">
        <f t="shared" si="1"/>
        <v>11.987499999999999</v>
      </c>
      <c r="E8">
        <v>7</v>
      </c>
    </row>
    <row r="9" spans="1:5" x14ac:dyDescent="0.2">
      <c r="A9">
        <f t="shared" si="0"/>
        <v>400</v>
      </c>
      <c r="B9">
        <f t="shared" si="1"/>
        <v>13.7</v>
      </c>
      <c r="E9">
        <v>8</v>
      </c>
    </row>
    <row r="10" spans="1:5" x14ac:dyDescent="0.2">
      <c r="A10">
        <f t="shared" si="0"/>
        <v>450</v>
      </c>
      <c r="B10">
        <f t="shared" si="1"/>
        <v>15.4125</v>
      </c>
      <c r="E1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M97"/>
  <sheetViews>
    <sheetView workbookViewId="0">
      <selection activeCell="G1" sqref="G1:K7"/>
    </sheetView>
  </sheetViews>
  <sheetFormatPr baseColWidth="10" defaultRowHeight="16" x14ac:dyDescent="0.2"/>
  <cols>
    <col min="6" max="6" width="12.1640625" bestFit="1" customWidth="1"/>
  </cols>
  <sheetData>
    <row r="1" spans="1:13" x14ac:dyDescent="0.2">
      <c r="A1" t="s">
        <v>32</v>
      </c>
      <c r="B1" t="s">
        <v>17</v>
      </c>
      <c r="C1" t="s">
        <v>24</v>
      </c>
    </row>
    <row r="2" spans="1:13" x14ac:dyDescent="0.2">
      <c r="A2">
        <v>1</v>
      </c>
      <c r="B2">
        <v>9.6196376021798355E-2</v>
      </c>
      <c r="C2">
        <v>8.1445286885245896E-3</v>
      </c>
    </row>
    <row r="3" spans="1:13" x14ac:dyDescent="0.2">
      <c r="A3">
        <v>2</v>
      </c>
      <c r="B3">
        <v>9.6196376021798355E-2</v>
      </c>
      <c r="C3">
        <v>8.1445286885245896E-3</v>
      </c>
      <c r="L3" s="4"/>
      <c r="M3" s="4"/>
    </row>
    <row r="4" spans="1:13" x14ac:dyDescent="0.2">
      <c r="A4">
        <v>3</v>
      </c>
      <c r="B4">
        <v>9.6196376021798355E-2</v>
      </c>
      <c r="C4">
        <v>8.1445286885245896E-3</v>
      </c>
      <c r="L4" s="4"/>
      <c r="M4" s="4"/>
    </row>
    <row r="5" spans="1:13" x14ac:dyDescent="0.2">
      <c r="A5">
        <v>4</v>
      </c>
      <c r="B5">
        <v>9.6196376021798355E-2</v>
      </c>
      <c r="C5">
        <v>8.1445286885245896E-3</v>
      </c>
      <c r="L5" s="4"/>
      <c r="M5" s="4"/>
    </row>
    <row r="6" spans="1:13" x14ac:dyDescent="0.2">
      <c r="A6">
        <v>5</v>
      </c>
      <c r="B6">
        <v>8.8765994550408719E-2</v>
      </c>
      <c r="C6">
        <v>8.8474453551912573E-3</v>
      </c>
      <c r="L6" s="4"/>
      <c r="M6" s="4"/>
    </row>
    <row r="7" spans="1:13" x14ac:dyDescent="0.2">
      <c r="A7">
        <v>6</v>
      </c>
      <c r="B7">
        <v>8.8765994550408719E-2</v>
      </c>
      <c r="C7">
        <v>8.8474453551912573E-3</v>
      </c>
      <c r="L7" s="4"/>
      <c r="M7" s="4"/>
    </row>
    <row r="8" spans="1:13" x14ac:dyDescent="0.2">
      <c r="A8">
        <v>7</v>
      </c>
      <c r="B8">
        <v>8.8765994550408719E-2</v>
      </c>
      <c r="C8">
        <v>8.8474453551912573E-3</v>
      </c>
    </row>
    <row r="9" spans="1:13" x14ac:dyDescent="0.2">
      <c r="A9">
        <v>8</v>
      </c>
      <c r="B9">
        <v>8.8765994550408719E-2</v>
      </c>
      <c r="C9">
        <v>8.8474453551912573E-3</v>
      </c>
    </row>
    <row r="10" spans="1:13" x14ac:dyDescent="0.2">
      <c r="A10">
        <v>9</v>
      </c>
      <c r="B10">
        <v>8.4496621253405985E-2</v>
      </c>
      <c r="C10">
        <v>9.7676161202185797E-3</v>
      </c>
    </row>
    <row r="11" spans="1:13" x14ac:dyDescent="0.2">
      <c r="A11">
        <v>10</v>
      </c>
      <c r="B11">
        <v>8.4496621253405985E-2</v>
      </c>
      <c r="C11">
        <v>9.7676161202185797E-3</v>
      </c>
    </row>
    <row r="12" spans="1:13" x14ac:dyDescent="0.2">
      <c r="A12">
        <v>11</v>
      </c>
      <c r="B12">
        <v>8.4496621253405985E-2</v>
      </c>
      <c r="C12">
        <v>9.7676161202185797E-3</v>
      </c>
    </row>
    <row r="13" spans="1:13" x14ac:dyDescent="0.2">
      <c r="A13">
        <v>12</v>
      </c>
      <c r="B13">
        <v>8.4496621253405985E-2</v>
      </c>
      <c r="C13">
        <v>9.7676161202185797E-3</v>
      </c>
    </row>
    <row r="14" spans="1:13" x14ac:dyDescent="0.2">
      <c r="A14">
        <v>13</v>
      </c>
      <c r="B14">
        <v>8.2280217983651233E-2</v>
      </c>
      <c r="C14">
        <v>1.0125177595628421E-2</v>
      </c>
    </row>
    <row r="15" spans="1:13" x14ac:dyDescent="0.2">
      <c r="A15">
        <v>14</v>
      </c>
      <c r="B15">
        <v>8.2280217983651233E-2</v>
      </c>
      <c r="C15">
        <v>1.0125177595628421E-2</v>
      </c>
    </row>
    <row r="16" spans="1:13" x14ac:dyDescent="0.2">
      <c r="A16">
        <v>15</v>
      </c>
      <c r="B16">
        <v>8.2280217983651233E-2</v>
      </c>
      <c r="C16">
        <v>1.0125177595628421E-2</v>
      </c>
    </row>
    <row r="17" spans="1:3" x14ac:dyDescent="0.2">
      <c r="A17">
        <v>16</v>
      </c>
      <c r="B17">
        <v>8.2280217983651233E-2</v>
      </c>
      <c r="C17">
        <v>1.0125177595628421E-2</v>
      </c>
    </row>
    <row r="18" spans="1:3" x14ac:dyDescent="0.2">
      <c r="A18">
        <v>17</v>
      </c>
      <c r="B18">
        <v>8.0808038147138953E-2</v>
      </c>
      <c r="C18">
        <v>1.0300423497267759E-2</v>
      </c>
    </row>
    <row r="19" spans="1:3" x14ac:dyDescent="0.2">
      <c r="A19">
        <v>18</v>
      </c>
      <c r="B19">
        <v>8.0808038147138953E-2</v>
      </c>
      <c r="C19">
        <v>1.0300423497267759E-2</v>
      </c>
    </row>
    <row r="20" spans="1:3" x14ac:dyDescent="0.2">
      <c r="A20">
        <v>19</v>
      </c>
      <c r="B20">
        <v>8.0808038147138953E-2</v>
      </c>
      <c r="C20">
        <v>1.0300423497267759E-2</v>
      </c>
    </row>
    <row r="21" spans="1:3" x14ac:dyDescent="0.2">
      <c r="A21">
        <v>20</v>
      </c>
      <c r="B21">
        <v>8.0808038147138953E-2</v>
      </c>
      <c r="C21">
        <v>1.0300423497267759E-2</v>
      </c>
    </row>
    <row r="22" spans="1:3" x14ac:dyDescent="0.2">
      <c r="A22">
        <v>21</v>
      </c>
      <c r="B22">
        <v>8.3833242506811984E-2</v>
      </c>
      <c r="C22">
        <v>9.9707650273224042E-3</v>
      </c>
    </row>
    <row r="23" spans="1:3" x14ac:dyDescent="0.2">
      <c r="A23">
        <v>22</v>
      </c>
      <c r="B23">
        <v>8.3833242506811984E-2</v>
      </c>
      <c r="C23">
        <v>9.9707650273224042E-3</v>
      </c>
    </row>
    <row r="24" spans="1:3" x14ac:dyDescent="0.2">
      <c r="A24">
        <v>23</v>
      </c>
      <c r="B24">
        <v>8.3833242506811984E-2</v>
      </c>
      <c r="C24">
        <v>9.9707650273224042E-3</v>
      </c>
    </row>
    <row r="25" spans="1:3" x14ac:dyDescent="0.2">
      <c r="A25">
        <v>24</v>
      </c>
      <c r="B25">
        <v>8.3833242506811984E-2</v>
      </c>
      <c r="C25">
        <v>9.9707650273224042E-3</v>
      </c>
    </row>
    <row r="26" spans="1:3" x14ac:dyDescent="0.2">
      <c r="A26">
        <v>25</v>
      </c>
      <c r="B26">
        <v>9.2526267029972756E-2</v>
      </c>
      <c r="C26">
        <v>8.8811543715846993E-3</v>
      </c>
    </row>
    <row r="27" spans="1:3" x14ac:dyDescent="0.2">
      <c r="A27">
        <v>26</v>
      </c>
      <c r="B27">
        <v>9.2526267029972756E-2</v>
      </c>
      <c r="C27">
        <v>8.8811543715846993E-3</v>
      </c>
    </row>
    <row r="28" spans="1:3" x14ac:dyDescent="0.2">
      <c r="A28">
        <v>27</v>
      </c>
      <c r="B28">
        <v>9.2526267029972756E-2</v>
      </c>
      <c r="C28">
        <v>8.8811543715846993E-3</v>
      </c>
    </row>
    <row r="29" spans="1:3" x14ac:dyDescent="0.2">
      <c r="A29">
        <v>28</v>
      </c>
      <c r="B29">
        <v>9.2526267029972756E-2</v>
      </c>
      <c r="C29">
        <v>8.8811543715846993E-3</v>
      </c>
    </row>
    <row r="30" spans="1:3" x14ac:dyDescent="0.2">
      <c r="A30">
        <v>29</v>
      </c>
      <c r="B30">
        <v>0.102791280653951</v>
      </c>
      <c r="C30">
        <v>7.5684767759562847E-3</v>
      </c>
    </row>
    <row r="31" spans="1:3" x14ac:dyDescent="0.2">
      <c r="A31">
        <v>30</v>
      </c>
      <c r="B31">
        <v>0.102791280653951</v>
      </c>
      <c r="C31">
        <v>7.5684767759562847E-3</v>
      </c>
    </row>
    <row r="32" spans="1:3" x14ac:dyDescent="0.2">
      <c r="A32">
        <v>31</v>
      </c>
      <c r="B32">
        <v>0.102791280653951</v>
      </c>
      <c r="C32">
        <v>7.5684767759562847E-3</v>
      </c>
    </row>
    <row r="33" spans="1:3" x14ac:dyDescent="0.2">
      <c r="A33">
        <v>32</v>
      </c>
      <c r="B33">
        <v>0.102791280653951</v>
      </c>
      <c r="C33">
        <v>7.5684767759562847E-3</v>
      </c>
    </row>
    <row r="34" spans="1:3" x14ac:dyDescent="0.2">
      <c r="A34">
        <v>33</v>
      </c>
      <c r="B34">
        <v>0.10571716621253401</v>
      </c>
      <c r="C34">
        <v>8.6693852459016393E-3</v>
      </c>
    </row>
    <row r="35" spans="1:3" x14ac:dyDescent="0.2">
      <c r="A35">
        <v>34</v>
      </c>
      <c r="B35">
        <v>0.10571716621253401</v>
      </c>
      <c r="C35">
        <v>8.6693852459016393E-3</v>
      </c>
    </row>
    <row r="36" spans="1:3" x14ac:dyDescent="0.2">
      <c r="A36">
        <v>35</v>
      </c>
      <c r="B36">
        <v>0.10571716621253401</v>
      </c>
      <c r="C36">
        <v>8.6693852459016393E-3</v>
      </c>
    </row>
    <row r="37" spans="1:3" x14ac:dyDescent="0.2">
      <c r="A37">
        <v>36</v>
      </c>
      <c r="B37">
        <v>0.10571716621253401</v>
      </c>
      <c r="C37">
        <v>8.6693852459016393E-3</v>
      </c>
    </row>
    <row r="38" spans="1:3" x14ac:dyDescent="0.2">
      <c r="A38">
        <v>37</v>
      </c>
      <c r="B38">
        <v>9.5729809264305174E-2</v>
      </c>
      <c r="C38">
        <v>1.0818299180327871E-2</v>
      </c>
    </row>
    <row r="39" spans="1:3" x14ac:dyDescent="0.2">
      <c r="A39">
        <v>38</v>
      </c>
      <c r="B39">
        <v>9.5729809264305174E-2</v>
      </c>
      <c r="C39">
        <v>1.0818299180327871E-2</v>
      </c>
    </row>
    <row r="40" spans="1:3" x14ac:dyDescent="0.2">
      <c r="A40">
        <v>39</v>
      </c>
      <c r="B40">
        <v>9.5729809264305174E-2</v>
      </c>
      <c r="C40">
        <v>1.0818299180327871E-2</v>
      </c>
    </row>
    <row r="41" spans="1:3" x14ac:dyDescent="0.2">
      <c r="A41">
        <v>40</v>
      </c>
      <c r="B41">
        <v>9.5729809264305174E-2</v>
      </c>
      <c r="C41">
        <v>1.0818299180327871E-2</v>
      </c>
    </row>
    <row r="42" spans="1:3" x14ac:dyDescent="0.2">
      <c r="A42">
        <v>41</v>
      </c>
      <c r="B42">
        <v>8.299574931880109E-2</v>
      </c>
      <c r="C42">
        <v>1.384879781420765E-2</v>
      </c>
    </row>
    <row r="43" spans="1:3" x14ac:dyDescent="0.2">
      <c r="A43">
        <v>42</v>
      </c>
      <c r="B43">
        <v>8.299574931880109E-2</v>
      </c>
      <c r="C43">
        <v>1.384879781420765E-2</v>
      </c>
    </row>
    <row r="44" spans="1:3" x14ac:dyDescent="0.2">
      <c r="A44">
        <v>43</v>
      </c>
      <c r="B44">
        <v>8.299574931880109E-2</v>
      </c>
      <c r="C44">
        <v>1.384879781420765E-2</v>
      </c>
    </row>
    <row r="45" spans="1:3" x14ac:dyDescent="0.2">
      <c r="A45">
        <v>44</v>
      </c>
      <c r="B45">
        <v>8.299574931880109E-2</v>
      </c>
      <c r="C45">
        <v>1.384879781420765E-2</v>
      </c>
    </row>
    <row r="46" spans="1:3" x14ac:dyDescent="0.2">
      <c r="A46">
        <v>45</v>
      </c>
      <c r="B46">
        <v>7.7228310626703003E-2</v>
      </c>
      <c r="C46">
        <v>1.3526284153005471E-2</v>
      </c>
    </row>
    <row r="47" spans="1:3" x14ac:dyDescent="0.2">
      <c r="A47">
        <v>46</v>
      </c>
      <c r="B47">
        <v>7.7228310626703003E-2</v>
      </c>
      <c r="C47">
        <v>1.3526284153005471E-2</v>
      </c>
    </row>
    <row r="48" spans="1:3" x14ac:dyDescent="0.2">
      <c r="A48">
        <v>47</v>
      </c>
      <c r="B48">
        <v>7.7228310626703003E-2</v>
      </c>
      <c r="C48">
        <v>1.3526284153005471E-2</v>
      </c>
    </row>
    <row r="49" spans="1:3" x14ac:dyDescent="0.2">
      <c r="A49">
        <v>48</v>
      </c>
      <c r="B49">
        <v>7.7228310626703003E-2</v>
      </c>
      <c r="C49">
        <v>1.3526284153005471E-2</v>
      </c>
    </row>
    <row r="50" spans="1:3" x14ac:dyDescent="0.2">
      <c r="A50">
        <v>49</v>
      </c>
      <c r="B50">
        <v>7.4376866485013626E-2</v>
      </c>
      <c r="C50">
        <v>1.3770300546448091E-2</v>
      </c>
    </row>
    <row r="51" spans="1:3" x14ac:dyDescent="0.2">
      <c r="A51">
        <v>50</v>
      </c>
      <c r="B51">
        <v>7.4376866485013626E-2</v>
      </c>
      <c r="C51">
        <v>1.3770300546448091E-2</v>
      </c>
    </row>
    <row r="52" spans="1:3" x14ac:dyDescent="0.2">
      <c r="A52">
        <v>51</v>
      </c>
      <c r="B52">
        <v>7.4376866485013626E-2</v>
      </c>
      <c r="C52">
        <v>1.3770300546448091E-2</v>
      </c>
    </row>
    <row r="53" spans="1:3" x14ac:dyDescent="0.2">
      <c r="A53">
        <v>52</v>
      </c>
      <c r="B53">
        <v>7.4376866485013626E-2</v>
      </c>
      <c r="C53">
        <v>1.3770300546448091E-2</v>
      </c>
    </row>
    <row r="54" spans="1:3" x14ac:dyDescent="0.2">
      <c r="A54">
        <v>53</v>
      </c>
      <c r="B54">
        <v>7.1927956403269766E-2</v>
      </c>
      <c r="C54">
        <v>1.372168032786885E-2</v>
      </c>
    </row>
    <row r="55" spans="1:3" x14ac:dyDescent="0.2">
      <c r="A55">
        <v>54</v>
      </c>
      <c r="B55">
        <v>7.1927956403269766E-2</v>
      </c>
      <c r="C55">
        <v>1.372168032786885E-2</v>
      </c>
    </row>
    <row r="56" spans="1:3" x14ac:dyDescent="0.2">
      <c r="A56">
        <v>55</v>
      </c>
      <c r="B56">
        <v>7.1927956403269766E-2</v>
      </c>
      <c r="C56">
        <v>1.372168032786885E-2</v>
      </c>
    </row>
    <row r="57" spans="1:3" x14ac:dyDescent="0.2">
      <c r="A57">
        <v>56</v>
      </c>
      <c r="B57">
        <v>7.1927956403269766E-2</v>
      </c>
      <c r="C57">
        <v>1.372168032786885E-2</v>
      </c>
    </row>
    <row r="58" spans="1:3" x14ac:dyDescent="0.2">
      <c r="A58">
        <v>57</v>
      </c>
      <c r="B58">
        <v>6.8611035422343314E-2</v>
      </c>
      <c r="C58">
        <v>1.380472677595628E-2</v>
      </c>
    </row>
    <row r="59" spans="1:3" x14ac:dyDescent="0.2">
      <c r="A59">
        <v>58</v>
      </c>
      <c r="B59">
        <v>6.8611035422343314E-2</v>
      </c>
      <c r="C59">
        <v>1.380472677595628E-2</v>
      </c>
    </row>
    <row r="60" spans="1:3" x14ac:dyDescent="0.2">
      <c r="A60">
        <v>59</v>
      </c>
      <c r="B60">
        <v>6.8611035422343314E-2</v>
      </c>
      <c r="C60">
        <v>1.380472677595628E-2</v>
      </c>
    </row>
    <row r="61" spans="1:3" x14ac:dyDescent="0.2">
      <c r="A61">
        <v>60</v>
      </c>
      <c r="B61">
        <v>6.8611035422343314E-2</v>
      </c>
      <c r="C61">
        <v>1.380472677595628E-2</v>
      </c>
    </row>
    <row r="62" spans="1:3" x14ac:dyDescent="0.2">
      <c r="A62">
        <v>61</v>
      </c>
      <c r="B62">
        <v>6.7398910081743882E-2</v>
      </c>
      <c r="C62">
        <v>1.3796857923497269E-2</v>
      </c>
    </row>
    <row r="63" spans="1:3" x14ac:dyDescent="0.2">
      <c r="A63">
        <v>62</v>
      </c>
      <c r="B63">
        <v>6.7398910081743882E-2</v>
      </c>
      <c r="C63">
        <v>1.3796857923497269E-2</v>
      </c>
    </row>
    <row r="64" spans="1:3" x14ac:dyDescent="0.2">
      <c r="A64">
        <v>63</v>
      </c>
      <c r="B64">
        <v>6.7398910081743882E-2</v>
      </c>
      <c r="C64">
        <v>1.3796857923497269E-2</v>
      </c>
    </row>
    <row r="65" spans="1:3" x14ac:dyDescent="0.2">
      <c r="A65">
        <v>64</v>
      </c>
      <c r="B65">
        <v>6.7398910081743882E-2</v>
      </c>
      <c r="C65">
        <v>1.3796857923497269E-2</v>
      </c>
    </row>
    <row r="66" spans="1:3" x14ac:dyDescent="0.2">
      <c r="A66">
        <v>65</v>
      </c>
      <c r="B66">
        <v>7.1017929155313353E-2</v>
      </c>
      <c r="C66">
        <v>1.4495464480874321E-2</v>
      </c>
    </row>
    <row r="67" spans="1:3" x14ac:dyDescent="0.2">
      <c r="A67">
        <v>66</v>
      </c>
      <c r="B67">
        <v>7.1017929155313353E-2</v>
      </c>
      <c r="C67">
        <v>1.4495464480874321E-2</v>
      </c>
    </row>
    <row r="68" spans="1:3" x14ac:dyDescent="0.2">
      <c r="A68">
        <v>67</v>
      </c>
      <c r="B68">
        <v>7.1017929155313353E-2</v>
      </c>
      <c r="C68">
        <v>1.4495464480874321E-2</v>
      </c>
    </row>
    <row r="69" spans="1:3" x14ac:dyDescent="0.2">
      <c r="A69">
        <v>68</v>
      </c>
      <c r="B69">
        <v>7.1017929155313353E-2</v>
      </c>
      <c r="C69">
        <v>1.4495464480874321E-2</v>
      </c>
    </row>
    <row r="70" spans="1:3" x14ac:dyDescent="0.2">
      <c r="A70">
        <v>69</v>
      </c>
      <c r="B70">
        <v>8.1150626702997275E-2</v>
      </c>
      <c r="C70">
        <v>1.317325136612022E-2</v>
      </c>
    </row>
    <row r="71" spans="1:3" x14ac:dyDescent="0.2">
      <c r="A71">
        <v>70</v>
      </c>
      <c r="B71">
        <v>8.1150626702997275E-2</v>
      </c>
      <c r="C71">
        <v>1.317325136612022E-2</v>
      </c>
    </row>
    <row r="72" spans="1:3" x14ac:dyDescent="0.2">
      <c r="A72">
        <v>71</v>
      </c>
      <c r="B72">
        <v>8.1150626702997275E-2</v>
      </c>
      <c r="C72">
        <v>1.317325136612022E-2</v>
      </c>
    </row>
    <row r="73" spans="1:3" x14ac:dyDescent="0.2">
      <c r="A73">
        <v>72</v>
      </c>
      <c r="B73">
        <v>8.1150626702997275E-2</v>
      </c>
      <c r="C73">
        <v>1.317325136612022E-2</v>
      </c>
    </row>
    <row r="74" spans="1:3" x14ac:dyDescent="0.2">
      <c r="A74">
        <v>73</v>
      </c>
      <c r="B74">
        <v>9.4181198910081754E-2</v>
      </c>
      <c r="C74">
        <v>1.1244125683060111E-2</v>
      </c>
    </row>
    <row r="75" spans="1:3" x14ac:dyDescent="0.2">
      <c r="A75">
        <v>74</v>
      </c>
      <c r="B75">
        <v>9.4181198910081754E-2</v>
      </c>
      <c r="C75">
        <v>1.1244125683060111E-2</v>
      </c>
    </row>
    <row r="76" spans="1:3" x14ac:dyDescent="0.2">
      <c r="A76">
        <v>75</v>
      </c>
      <c r="B76">
        <v>9.4181198910081754E-2</v>
      </c>
      <c r="C76">
        <v>1.1244125683060111E-2</v>
      </c>
    </row>
    <row r="77" spans="1:3" x14ac:dyDescent="0.2">
      <c r="A77">
        <v>76</v>
      </c>
      <c r="B77">
        <v>9.4181198910081754E-2</v>
      </c>
      <c r="C77">
        <v>1.1244125683060111E-2</v>
      </c>
    </row>
    <row r="78" spans="1:3" x14ac:dyDescent="0.2">
      <c r="A78">
        <v>77</v>
      </c>
      <c r="B78">
        <v>0.11045356948228879</v>
      </c>
      <c r="C78">
        <v>8.4160314207650262E-3</v>
      </c>
    </row>
    <row r="79" spans="1:3" x14ac:dyDescent="0.2">
      <c r="A79">
        <v>78</v>
      </c>
      <c r="B79">
        <v>0.11045356948228879</v>
      </c>
      <c r="C79">
        <v>8.4160314207650262E-3</v>
      </c>
    </row>
    <row r="80" spans="1:3" x14ac:dyDescent="0.2">
      <c r="A80">
        <v>79</v>
      </c>
      <c r="B80">
        <v>0.11045356948228879</v>
      </c>
      <c r="C80">
        <v>8.4160314207650262E-3</v>
      </c>
    </row>
    <row r="81" spans="1:3" x14ac:dyDescent="0.2">
      <c r="A81">
        <v>80</v>
      </c>
      <c r="B81">
        <v>0.11045356948228879</v>
      </c>
      <c r="C81">
        <v>8.4160314207650262E-3</v>
      </c>
    </row>
    <row r="82" spans="1:3" x14ac:dyDescent="0.2">
      <c r="A82">
        <v>81</v>
      </c>
      <c r="B82">
        <v>0.1221265940054496</v>
      </c>
      <c r="C82">
        <v>5.8373702185792343E-3</v>
      </c>
    </row>
    <row r="83" spans="1:3" x14ac:dyDescent="0.2">
      <c r="A83">
        <v>82</v>
      </c>
      <c r="B83">
        <v>0.1221265940054496</v>
      </c>
      <c r="C83">
        <v>5.8373702185792343E-3</v>
      </c>
    </row>
    <row r="84" spans="1:3" x14ac:dyDescent="0.2">
      <c r="A84">
        <v>83</v>
      </c>
      <c r="B84">
        <v>0.1221265940054496</v>
      </c>
      <c r="C84">
        <v>5.8373702185792343E-3</v>
      </c>
    </row>
    <row r="85" spans="1:3" x14ac:dyDescent="0.2">
      <c r="A85">
        <v>84</v>
      </c>
      <c r="B85">
        <v>0.1221265940054496</v>
      </c>
      <c r="C85">
        <v>5.8373702185792343E-3</v>
      </c>
    </row>
    <row r="86" spans="1:3" x14ac:dyDescent="0.2">
      <c r="A86">
        <v>85</v>
      </c>
      <c r="B86">
        <v>0.12058182561307899</v>
      </c>
      <c r="C86">
        <v>5.0946584699453554E-3</v>
      </c>
    </row>
    <row r="87" spans="1:3" x14ac:dyDescent="0.2">
      <c r="A87">
        <v>86</v>
      </c>
      <c r="B87">
        <v>0.12058182561307899</v>
      </c>
      <c r="C87">
        <v>5.0946584699453554E-3</v>
      </c>
    </row>
    <row r="88" spans="1:3" x14ac:dyDescent="0.2">
      <c r="A88">
        <v>87</v>
      </c>
      <c r="B88">
        <v>0.12058182561307899</v>
      </c>
      <c r="C88">
        <v>5.0946584699453554E-3</v>
      </c>
    </row>
    <row r="89" spans="1:3" x14ac:dyDescent="0.2">
      <c r="A89">
        <v>88</v>
      </c>
      <c r="B89">
        <v>0.12058182561307899</v>
      </c>
      <c r="C89">
        <v>5.0946584699453554E-3</v>
      </c>
    </row>
    <row r="90" spans="1:3" x14ac:dyDescent="0.2">
      <c r="A90">
        <v>89</v>
      </c>
      <c r="B90">
        <v>0.1114515803814714</v>
      </c>
      <c r="C90">
        <v>5.8537636612021864E-3</v>
      </c>
    </row>
    <row r="91" spans="1:3" x14ac:dyDescent="0.2">
      <c r="A91">
        <v>90</v>
      </c>
      <c r="B91">
        <v>0.1114515803814714</v>
      </c>
      <c r="C91">
        <v>5.8537636612021864E-3</v>
      </c>
    </row>
    <row r="92" spans="1:3" x14ac:dyDescent="0.2">
      <c r="A92">
        <v>91</v>
      </c>
      <c r="B92">
        <v>0.1114515803814714</v>
      </c>
      <c r="C92">
        <v>5.8537636612021864E-3</v>
      </c>
    </row>
    <row r="93" spans="1:3" x14ac:dyDescent="0.2">
      <c r="A93">
        <v>92</v>
      </c>
      <c r="B93">
        <v>0.1114515803814714</v>
      </c>
      <c r="C93">
        <v>5.8537636612021864E-3</v>
      </c>
    </row>
    <row r="94" spans="1:3" x14ac:dyDescent="0.2">
      <c r="A94">
        <v>93</v>
      </c>
      <c r="B94">
        <v>0.1015224043715847</v>
      </c>
      <c r="C94">
        <v>7.3129452054794524E-3</v>
      </c>
    </row>
    <row r="95" spans="1:3" x14ac:dyDescent="0.2">
      <c r="A95">
        <v>94</v>
      </c>
      <c r="B95">
        <v>0.1015224043715847</v>
      </c>
      <c r="C95">
        <v>7.3129452054794524E-3</v>
      </c>
    </row>
    <row r="96" spans="1:3" x14ac:dyDescent="0.2">
      <c r="A96">
        <v>95</v>
      </c>
      <c r="B96">
        <v>0.1015224043715847</v>
      </c>
      <c r="C96">
        <v>7.3129452054794524E-3</v>
      </c>
    </row>
    <row r="97" spans="1:3" x14ac:dyDescent="0.2">
      <c r="A97">
        <v>96</v>
      </c>
      <c r="B97">
        <v>0.1015224043715847</v>
      </c>
      <c r="C97">
        <v>7.3129452054794524E-3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I7"/>
  <sheetViews>
    <sheetView workbookViewId="0">
      <selection activeCell="I12" sqref="I12"/>
    </sheetView>
  </sheetViews>
  <sheetFormatPr baseColWidth="10" defaultRowHeight="16" x14ac:dyDescent="0.2"/>
  <sheetData>
    <row r="1" spans="1:9" x14ac:dyDescent="0.2">
      <c r="A1" t="s">
        <v>18</v>
      </c>
      <c r="B1" t="s">
        <v>19</v>
      </c>
      <c r="C1" t="s">
        <v>25</v>
      </c>
      <c r="D1" t="s">
        <v>26</v>
      </c>
      <c r="E1" t="s">
        <v>41</v>
      </c>
      <c r="F1" s="5" t="s">
        <v>33</v>
      </c>
      <c r="G1" s="5"/>
      <c r="H1" s="6" t="s">
        <v>40</v>
      </c>
      <c r="I1" s="6"/>
    </row>
    <row r="2" spans="1:9" x14ac:dyDescent="0.2">
      <c r="A2">
        <v>0.10100000000000001</v>
      </c>
      <c r="B2">
        <v>7.8E-2</v>
      </c>
      <c r="C2">
        <v>1.09E-2</v>
      </c>
      <c r="D2">
        <v>7.4000000000000003E-3</v>
      </c>
      <c r="E2" t="s">
        <v>34</v>
      </c>
      <c r="F2">
        <f>SUM(Prices!B2:B17)/16</f>
        <v>8.7934802452316066E-2</v>
      </c>
      <c r="G2">
        <f>SUM(Prices!C2:C17)/16</f>
        <v>9.2211919398907122E-3</v>
      </c>
      <c r="H2">
        <f>AVEDEV(Prices!B2:B17)</f>
        <v>4.5463828337874643E-3</v>
      </c>
      <c r="I2">
        <f>AVEDEV(Prices!C2:C17)</f>
        <v>7.2520491803278837E-4</v>
      </c>
    </row>
    <row r="3" spans="1:9" x14ac:dyDescent="0.2">
      <c r="A3">
        <v>0.11</v>
      </c>
      <c r="B3">
        <v>7.2999999999999995E-2</v>
      </c>
      <c r="C3">
        <v>1.0999999999999999E-2</v>
      </c>
      <c r="D3">
        <v>6.8999999999999999E-3</v>
      </c>
      <c r="E3" t="s">
        <v>35</v>
      </c>
      <c r="F3">
        <f>SUM(Prices!B18:B33)/16</f>
        <v>8.9989707084468698E-2</v>
      </c>
      <c r="G3">
        <f>SUM(Prices!C18:C33)/16</f>
        <v>9.180204918032786E-3</v>
      </c>
      <c r="H3">
        <f>AVEDEV(Prices!B18:B33)</f>
        <v>7.6690667574932057E-3</v>
      </c>
      <c r="I3">
        <f>AVEDEV(Prices!C3:C18)</f>
        <v>7.085225089651651E-4</v>
      </c>
    </row>
    <row r="4" spans="1:9" x14ac:dyDescent="0.2">
      <c r="A4">
        <v>0.11600000000000001</v>
      </c>
      <c r="B4">
        <v>6.7000000000000004E-2</v>
      </c>
      <c r="C4">
        <v>1.4500000000000001E-2</v>
      </c>
      <c r="D4">
        <v>8.0000000000000002E-3</v>
      </c>
      <c r="E4" t="s">
        <v>36</v>
      </c>
      <c r="F4">
        <f>SUM(Prices!B34:B49)/16</f>
        <v>9.0417758855585839E-2</v>
      </c>
      <c r="G4">
        <f>SUM(Prices!C34:C49)/16</f>
        <v>1.1715691598360658E-2</v>
      </c>
      <c r="H4">
        <f>AVEDEV(Prices!B34:B49)</f>
        <v>1.0305728882833775E-2</v>
      </c>
      <c r="I4">
        <f>AVEDEV(Prices!C4:C19)</f>
        <v>6.5815424351093016E-4</v>
      </c>
    </row>
    <row r="5" spans="1:9" x14ac:dyDescent="0.2">
      <c r="A5">
        <v>7.6999999999999999E-2</v>
      </c>
      <c r="B5">
        <v>6.5000000000000002E-2</v>
      </c>
      <c r="C5">
        <v>1.44E-2</v>
      </c>
      <c r="D5">
        <v>1.3100000000000001E-2</v>
      </c>
      <c r="E5" t="s">
        <v>37</v>
      </c>
      <c r="F5">
        <f>SUM(Prices!B50:B65)/16</f>
        <v>7.057869209809263E-2</v>
      </c>
      <c r="G5">
        <f>SUM(Prices!C50:C65)/16</f>
        <v>1.3773391393442625E-2</v>
      </c>
      <c r="H5">
        <f>AVEDEV(Prices!B50:B65)</f>
        <v>2.5737193460490491E-3</v>
      </c>
      <c r="I5">
        <f>AVEDEV(Prices!C5:C20)</f>
        <v>5.7410012167008289E-4</v>
      </c>
    </row>
    <row r="6" spans="1:9" x14ac:dyDescent="0.2">
      <c r="A6">
        <v>0.124</v>
      </c>
      <c r="B6">
        <v>5.8000000000000003E-2</v>
      </c>
      <c r="C6">
        <v>1.4999999999999999E-2</v>
      </c>
      <c r="D6">
        <v>8.0000000000000002E-3</v>
      </c>
      <c r="E6" t="s">
        <v>38</v>
      </c>
      <c r="F6">
        <f>SUM(Prices!B66:B81)/16</f>
        <v>8.9200831062670308E-2</v>
      </c>
      <c r="G6">
        <f>SUM(Prices!C66:C81)/16</f>
        <v>1.1832218237704917E-2</v>
      </c>
      <c r="H6">
        <f>AVEDEV(Prices!B66:B81)</f>
        <v>1.3116553133514983E-2</v>
      </c>
      <c r="I6">
        <f>AVEDEV(Prices!C6:C21)</f>
        <v>4.563601434426235E-4</v>
      </c>
    </row>
    <row r="7" spans="1:9" x14ac:dyDescent="0.2">
      <c r="A7">
        <v>0.13</v>
      </c>
      <c r="B7">
        <v>9.4E-2</v>
      </c>
      <c r="C7">
        <v>9.6799999999999997E-2</v>
      </c>
      <c r="D7">
        <v>4.7000000000000002E-3</v>
      </c>
      <c r="E7" t="s">
        <v>39</v>
      </c>
      <c r="F7">
        <f>SUM(Prices!B82:B97)/16</f>
        <v>0.1139206010928962</v>
      </c>
      <c r="G7">
        <f>SUM(Prices!C82:C97)/16</f>
        <v>6.0246843888015576E-3</v>
      </c>
      <c r="H7">
        <f>AVEDEV(Prices!B82:B97)</f>
        <v>7.4336087163681223E-3</v>
      </c>
      <c r="I7">
        <f>AVEDEV(Prices!C7:C22)</f>
        <v>3.9997641308060186E-4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B3" sqref="B3:C7"/>
    </sheetView>
  </sheetViews>
  <sheetFormatPr baseColWidth="10" defaultRowHeight="16" x14ac:dyDescent="0.2"/>
  <sheetData>
    <row r="1" spans="1:5" x14ac:dyDescent="0.2">
      <c r="A1" s="4" t="s">
        <v>27</v>
      </c>
      <c r="B1" s="4" t="s">
        <v>28</v>
      </c>
      <c r="C1" s="4" t="s">
        <v>29</v>
      </c>
      <c r="D1" s="4" t="s">
        <v>30</v>
      </c>
      <c r="E1" s="4"/>
    </row>
    <row r="2" spans="1:5" x14ac:dyDescent="0.2">
      <c r="A2" s="4">
        <v>1</v>
      </c>
      <c r="B2" s="4">
        <v>1</v>
      </c>
      <c r="C2" s="4">
        <v>16</v>
      </c>
      <c r="D2" s="4">
        <f>C2-B2+1</f>
        <v>16</v>
      </c>
      <c r="E2" s="4"/>
    </row>
    <row r="3" spans="1:5" x14ac:dyDescent="0.2">
      <c r="A3" s="4">
        <v>2</v>
      </c>
      <c r="B3" s="4">
        <v>17</v>
      </c>
      <c r="C3" s="4">
        <v>32</v>
      </c>
      <c r="D3" s="4">
        <f>C3-B3+1</f>
        <v>16</v>
      </c>
      <c r="E3" s="4"/>
    </row>
    <row r="4" spans="1:5" x14ac:dyDescent="0.2">
      <c r="A4" s="4">
        <v>3</v>
      </c>
      <c r="B4" s="4">
        <v>33</v>
      </c>
      <c r="C4" s="4">
        <v>48</v>
      </c>
      <c r="D4" s="4">
        <f>C4-B4+1</f>
        <v>16</v>
      </c>
      <c r="E4" s="4"/>
    </row>
    <row r="5" spans="1:5" x14ac:dyDescent="0.2">
      <c r="A5" s="4">
        <v>4</v>
      </c>
      <c r="B5" s="4">
        <v>49</v>
      </c>
      <c r="C5" s="4">
        <v>64</v>
      </c>
      <c r="D5" s="4">
        <f>C5-B5+1</f>
        <v>16</v>
      </c>
      <c r="E5" s="4"/>
    </row>
    <row r="6" spans="1:5" x14ac:dyDescent="0.2">
      <c r="A6" s="4">
        <v>5</v>
      </c>
      <c r="B6" s="4">
        <v>65</v>
      </c>
      <c r="C6" s="4">
        <v>80</v>
      </c>
      <c r="D6" s="4">
        <f t="shared" ref="D6:D7" si="0">C6-B6+1</f>
        <v>16</v>
      </c>
      <c r="E6" s="4"/>
    </row>
    <row r="7" spans="1:5" x14ac:dyDescent="0.2">
      <c r="A7" s="4">
        <v>6</v>
      </c>
      <c r="B7" s="4">
        <v>81</v>
      </c>
      <c r="C7" s="4">
        <v>96</v>
      </c>
      <c r="D7" s="4">
        <f t="shared" si="0"/>
        <v>16</v>
      </c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Buses</vt:lpstr>
      <vt:lpstr>Chargers</vt:lpstr>
      <vt:lpstr>Trip time</vt:lpstr>
      <vt:lpstr>Energy consumption</vt:lpstr>
      <vt:lpstr>Power price</vt:lpstr>
      <vt:lpstr>Prices</vt:lpstr>
      <vt:lpstr>Average prices</vt:lpstr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2024-01-23T18:26:32Z</dcterms:modified>
</cp:coreProperties>
</file>