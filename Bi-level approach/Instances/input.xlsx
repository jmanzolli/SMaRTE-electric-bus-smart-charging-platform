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tomanzolli/Documents/GitHub/Bi-level approach/Instances/"/>
    </mc:Choice>
  </mc:AlternateContent>
  <xr:revisionPtr revIDLastSave="0" documentId="13_ncr:1_{2A59CB02-4540-F44D-B756-07BBF690F9DB}" xr6:coauthVersionLast="47" xr6:coauthVersionMax="47" xr10:uidLastSave="{00000000-0000-0000-0000-000000000000}"/>
  <bookViews>
    <workbookView xWindow="0" yWindow="880" windowWidth="36000" windowHeight="22500" xr2:uid="{47EAD800-6FE6-534F-9B17-02E868179034}"/>
  </bookViews>
  <sheets>
    <sheet name="Buses" sheetId="1" r:id="rId1"/>
    <sheet name="Chargers" sheetId="2" r:id="rId2"/>
    <sheet name="Trip time" sheetId="3" r:id="rId3"/>
    <sheet name="Energy consumption" sheetId="4" r:id="rId4"/>
    <sheet name="Power price" sheetId="11" r:id="rId5"/>
    <sheet name="Prices" sheetId="7" r:id="rId6"/>
    <sheet name="Average prices" sheetId="8" r:id="rId7"/>
    <sheet name="Periods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1" l="1"/>
  <c r="B3" i="11"/>
  <c r="B4" i="11"/>
  <c r="E4" i="8"/>
  <c r="E5" i="8"/>
  <c r="A4" i="11"/>
  <c r="A3" i="2"/>
  <c r="C2" i="11"/>
  <c r="D6" i="9"/>
  <c r="D7" i="9"/>
  <c r="D2" i="11"/>
  <c r="D5" i="9"/>
  <c r="D4" i="9"/>
  <c r="D3" i="9"/>
  <c r="D2" i="9"/>
  <c r="E2" i="4"/>
  <c r="E3" i="4"/>
  <c r="K3" i="4" l="1"/>
  <c r="K2" i="4"/>
  <c r="C2" i="4" l="1"/>
  <c r="A2" i="4" s="1"/>
  <c r="C3" i="4"/>
  <c r="A3" i="4" s="1"/>
  <c r="B3" i="3" l="1"/>
  <c r="A3" i="3"/>
  <c r="B2" i="3"/>
  <c r="A2" i="3"/>
  <c r="C2" i="2"/>
  <c r="A2" i="2" l="1"/>
  <c r="D2" i="2" s="1"/>
  <c r="E2" i="11"/>
  <c r="A2" i="11"/>
  <c r="A3" i="11" s="1"/>
</calcChain>
</file>

<file path=xl/sharedStrings.xml><?xml version="1.0" encoding="utf-8"?>
<sst xmlns="http://schemas.openxmlformats.org/spreadsheetml/2006/main" count="32" uniqueCount="32">
  <si>
    <t>Bus (kWh)</t>
  </si>
  <si>
    <t>Charger (kWh/min)</t>
  </si>
  <si>
    <t>Charger (kW)</t>
  </si>
  <si>
    <t>Scale factor</t>
  </si>
  <si>
    <t>Max Power (kW)</t>
  </si>
  <si>
    <t>Time finish</t>
  </si>
  <si>
    <t>Time begin</t>
  </si>
  <si>
    <t>Time finish (min)</t>
  </si>
  <si>
    <t>Time begin (min)</t>
  </si>
  <si>
    <t>Uncertain energy (kWh/km*min)</t>
  </si>
  <si>
    <t>Uncertain energy (kWh/km)</t>
  </si>
  <si>
    <t>Nominal value (kWh/km)</t>
  </si>
  <si>
    <t>Maximum deviation (kWh/km)</t>
  </si>
  <si>
    <t>Deviation percentage (%)</t>
  </si>
  <si>
    <t>Gama</t>
  </si>
  <si>
    <t>Average velocity (km/min)</t>
  </si>
  <si>
    <t>Maximum deviation (kWh/km*min)</t>
  </si>
  <si>
    <t>Spot Market</t>
  </si>
  <si>
    <t>Max price</t>
  </si>
  <si>
    <t>Min price</t>
  </si>
  <si>
    <t>Power</t>
  </si>
  <si>
    <t>Price</t>
  </si>
  <si>
    <t>Power [total]</t>
  </si>
  <si>
    <t>Peak price (€/day)</t>
  </si>
  <si>
    <t>Capacity price</t>
  </si>
  <si>
    <t>Max cap</t>
  </si>
  <si>
    <t>Min cap</t>
  </si>
  <si>
    <t>Period</t>
  </si>
  <si>
    <t>Begin</t>
  </si>
  <si>
    <t>End</t>
  </si>
  <si>
    <t>Len</t>
  </si>
  <si>
    <t>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</si>
</sst>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center" wrapText="1" readingOrder="1"/>
    </xf>
    <xf numFmtId="0" fontId="1" fillId="0" borderId="0" xfId="0" applyFont="1" applyAlignment="1">
      <alignment horizontal="right" vertical="center" wrapText="1" readingOrder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90787-48DA-E646-A5C7-477557B8C2F9}">
  <dimension ref="A1:A3"/>
  <sheetViews>
    <sheetView tabSelected="1" workbookViewId="0">
      <selection activeCell="A4" sqref="A4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>
        <v>250</v>
      </c>
    </row>
    <row r="3" spans="1:1" x14ac:dyDescent="0.2">
      <c r="A3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06EE9-9C59-E949-A939-4CA81CA2B470}">
  <dimension ref="A1:D3"/>
  <sheetViews>
    <sheetView workbookViewId="0">
      <selection activeCell="C4" sqref="C4"/>
    </sheetView>
  </sheetViews>
  <sheetFormatPr baseColWidth="10" defaultRowHeight="16" x14ac:dyDescent="0.2"/>
  <cols>
    <col min="2" max="2" width="12.33203125" customWidth="1"/>
  </cols>
  <sheetData>
    <row r="1" spans="1:4" x14ac:dyDescent="0.2">
      <c r="A1" t="s">
        <v>1</v>
      </c>
      <c r="B1" t="s">
        <v>2</v>
      </c>
      <c r="C1" t="s">
        <v>3</v>
      </c>
      <c r="D1" t="s">
        <v>4</v>
      </c>
    </row>
    <row r="2" spans="1:4" x14ac:dyDescent="0.2">
      <c r="A2">
        <f>B2/$C$2</f>
        <v>50</v>
      </c>
      <c r="B2">
        <v>200</v>
      </c>
      <c r="C2">
        <f>60/15</f>
        <v>4</v>
      </c>
      <c r="D2">
        <f>SUM(A2:A9)</f>
        <v>100</v>
      </c>
    </row>
    <row r="3" spans="1:4" x14ac:dyDescent="0.2">
      <c r="A3">
        <f>B3/$C$2</f>
        <v>50</v>
      </c>
      <c r="B3">
        <v>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233B6-8674-C045-80F9-BA611B24A48C}">
  <dimension ref="A1:D3"/>
  <sheetViews>
    <sheetView zoomScaleNormal="100" workbookViewId="0">
      <selection activeCell="D3" sqref="D3"/>
    </sheetView>
  </sheetViews>
  <sheetFormatPr baseColWidth="10" defaultRowHeight="16" x14ac:dyDescent="0.2"/>
  <sheetData>
    <row r="1" spans="1:4" x14ac:dyDescent="0.2">
      <c r="A1" t="s">
        <v>8</v>
      </c>
      <c r="B1" t="s">
        <v>7</v>
      </c>
      <c r="C1" t="s">
        <v>6</v>
      </c>
      <c r="D1" t="s">
        <v>5</v>
      </c>
    </row>
    <row r="2" spans="1:4" x14ac:dyDescent="0.2">
      <c r="A2">
        <f t="shared" ref="A2:B3" si="0">ROUND(CONVERT(C2,"hr","mn")/15,0)</f>
        <v>30</v>
      </c>
      <c r="B2">
        <f t="shared" si="0"/>
        <v>86</v>
      </c>
      <c r="C2">
        <v>7.5</v>
      </c>
      <c r="D2">
        <v>21.5</v>
      </c>
    </row>
    <row r="3" spans="1:4" x14ac:dyDescent="0.2">
      <c r="A3">
        <f t="shared" si="0"/>
        <v>32</v>
      </c>
      <c r="B3">
        <f t="shared" si="0"/>
        <v>80</v>
      </c>
      <c r="C3">
        <v>8</v>
      </c>
      <c r="D3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4B161-9E91-0346-87CB-D039EEA55907}">
  <dimension ref="A1:K5"/>
  <sheetViews>
    <sheetView workbookViewId="0">
      <selection activeCell="A4" sqref="A4:K4"/>
    </sheetView>
  </sheetViews>
  <sheetFormatPr baseColWidth="10" defaultRowHeight="16" x14ac:dyDescent="0.2"/>
  <cols>
    <col min="3" max="3" width="15" customWidth="1"/>
    <col min="4" max="4" width="17.1640625" customWidth="1"/>
    <col min="5" max="5" width="18.1640625" customWidth="1"/>
  </cols>
  <sheetData>
    <row r="1" spans="1:11" x14ac:dyDescent="0.2">
      <c r="A1" s="1" t="s">
        <v>9</v>
      </c>
      <c r="B1" s="1"/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J1" s="2"/>
      <c r="K1" s="1" t="s">
        <v>16</v>
      </c>
    </row>
    <row r="2" spans="1:11" x14ac:dyDescent="0.2">
      <c r="A2">
        <f>C2*$H$2</f>
        <v>2.4000000000000004</v>
      </c>
      <c r="C2">
        <f>D2+E2*F2*G2</f>
        <v>0.8</v>
      </c>
      <c r="D2" s="3">
        <v>0.8</v>
      </c>
      <c r="E2" s="3">
        <f>D2*0.1</f>
        <v>8.0000000000000016E-2</v>
      </c>
      <c r="F2" s="1">
        <v>1</v>
      </c>
      <c r="G2" s="1">
        <v>0</v>
      </c>
      <c r="H2">
        <v>3</v>
      </c>
      <c r="J2" s="2"/>
      <c r="K2" s="3">
        <f>E2*$H$2</f>
        <v>0.24000000000000005</v>
      </c>
    </row>
    <row r="3" spans="1:11" x14ac:dyDescent="0.2">
      <c r="A3">
        <f>C3*$H$2</f>
        <v>2.4000000000000004</v>
      </c>
      <c r="C3">
        <f>D3+E3*F3*G3</f>
        <v>0.8</v>
      </c>
      <c r="D3" s="3">
        <v>0.8</v>
      </c>
      <c r="E3" s="3">
        <f>D3*0.1</f>
        <v>8.0000000000000016E-2</v>
      </c>
      <c r="F3" s="1">
        <v>1</v>
      </c>
      <c r="G3" s="1">
        <v>0</v>
      </c>
      <c r="J3" s="2"/>
      <c r="K3" s="3">
        <f>E3*$H$2</f>
        <v>0.24000000000000005</v>
      </c>
    </row>
    <row r="4" spans="1:11" x14ac:dyDescent="0.2">
      <c r="D4" s="3"/>
      <c r="E4" s="3"/>
      <c r="F4" s="1"/>
      <c r="G4" s="1"/>
      <c r="K4" s="3"/>
    </row>
    <row r="5" spans="1:11" x14ac:dyDescent="0.2">
      <c r="D5" s="3"/>
      <c r="E5" s="3"/>
      <c r="F5" s="1"/>
      <c r="G5" s="1"/>
      <c r="K5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ED1A9-B8EC-F349-AEB9-41982E9A70ED}">
  <dimension ref="A1:E4"/>
  <sheetViews>
    <sheetView workbookViewId="0">
      <selection activeCell="D5" sqref="D5"/>
    </sheetView>
  </sheetViews>
  <sheetFormatPr baseColWidth="10" defaultRowHeight="16" x14ac:dyDescent="0.2"/>
  <cols>
    <col min="3" max="3" width="12.6640625" customWidth="1"/>
    <col min="4" max="4" width="16" customWidth="1"/>
  </cols>
  <sheetData>
    <row r="1" spans="1:5" x14ac:dyDescent="0.2">
      <c r="A1" t="s">
        <v>20</v>
      </c>
      <c r="B1" t="s">
        <v>21</v>
      </c>
      <c r="C1" t="s">
        <v>22</v>
      </c>
      <c r="D1" t="s">
        <v>23</v>
      </c>
      <c r="E1" t="s">
        <v>31</v>
      </c>
    </row>
    <row r="2" spans="1:5" x14ac:dyDescent="0.2">
      <c r="A2">
        <f>(C2)/4</f>
        <v>50</v>
      </c>
      <c r="B2">
        <f>$D$2*E2</f>
        <v>1.7124999999999999</v>
      </c>
      <c r="C2">
        <f>Chargers!B2</f>
        <v>200</v>
      </c>
      <c r="D2">
        <f>1.7125</f>
        <v>1.7124999999999999</v>
      </c>
      <c r="E2">
        <f>C2/$C$2</f>
        <v>1</v>
      </c>
    </row>
    <row r="3" spans="1:5" x14ac:dyDescent="0.2">
      <c r="A3">
        <f>$A$2*E3</f>
        <v>100</v>
      </c>
      <c r="B3">
        <f>$D$2*E3</f>
        <v>3.4249999999999998</v>
      </c>
      <c r="E3">
        <v>2</v>
      </c>
    </row>
    <row r="4" spans="1:5" x14ac:dyDescent="0.2">
      <c r="A4">
        <f>$A$2*E4</f>
        <v>150</v>
      </c>
      <c r="B4">
        <f>$D$2*E4</f>
        <v>5.1374999999999993</v>
      </c>
      <c r="E4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C0223-303B-A044-8696-6F90A57B6829}">
  <dimension ref="A1:B97"/>
  <sheetViews>
    <sheetView workbookViewId="0">
      <selection activeCell="D1" sqref="D1:E1048576"/>
    </sheetView>
  </sheetViews>
  <sheetFormatPr baseColWidth="10" defaultRowHeight="16" x14ac:dyDescent="0.2"/>
  <cols>
    <col min="6" max="6" width="12.1640625" bestFit="1" customWidth="1"/>
  </cols>
  <sheetData>
    <row r="1" spans="1:2" x14ac:dyDescent="0.2">
      <c r="A1" t="s">
        <v>17</v>
      </c>
      <c r="B1" t="s">
        <v>24</v>
      </c>
    </row>
    <row r="2" spans="1:2" x14ac:dyDescent="0.2">
      <c r="A2">
        <v>0.12247</v>
      </c>
      <c r="B2">
        <v>2E-3</v>
      </c>
    </row>
    <row r="3" spans="1:2" x14ac:dyDescent="0.2">
      <c r="A3">
        <v>0.12247</v>
      </c>
      <c r="B3">
        <v>2E-3</v>
      </c>
    </row>
    <row r="4" spans="1:2" x14ac:dyDescent="0.2">
      <c r="A4">
        <v>0.12247</v>
      </c>
      <c r="B4">
        <v>2E-3</v>
      </c>
    </row>
    <row r="5" spans="1:2" x14ac:dyDescent="0.2">
      <c r="A5">
        <v>0.12247</v>
      </c>
      <c r="B5">
        <v>2E-3</v>
      </c>
    </row>
    <row r="6" spans="1:2" x14ac:dyDescent="0.2">
      <c r="A6">
        <v>0.10942</v>
      </c>
      <c r="B6">
        <v>2E-3</v>
      </c>
    </row>
    <row r="7" spans="1:2" x14ac:dyDescent="0.2">
      <c r="A7">
        <v>0.10942</v>
      </c>
      <c r="B7">
        <v>2E-3</v>
      </c>
    </row>
    <row r="8" spans="1:2" x14ac:dyDescent="0.2">
      <c r="A8">
        <v>0.10942</v>
      </c>
      <c r="B8">
        <v>2E-3</v>
      </c>
    </row>
    <row r="9" spans="1:2" x14ac:dyDescent="0.2">
      <c r="A9">
        <v>0.10942</v>
      </c>
      <c r="B9">
        <v>2E-3</v>
      </c>
    </row>
    <row r="10" spans="1:2" x14ac:dyDescent="0.2">
      <c r="A10">
        <v>0.10662000000000001</v>
      </c>
      <c r="B10">
        <v>2E-3</v>
      </c>
    </row>
    <row r="11" spans="1:2" x14ac:dyDescent="0.2">
      <c r="A11">
        <v>0.10662000000000001</v>
      </c>
      <c r="B11">
        <v>2E-3</v>
      </c>
    </row>
    <row r="12" spans="1:2" x14ac:dyDescent="0.2">
      <c r="A12">
        <v>0.10662000000000001</v>
      </c>
      <c r="B12">
        <v>2E-3</v>
      </c>
    </row>
    <row r="13" spans="1:2" x14ac:dyDescent="0.2">
      <c r="A13">
        <v>0.10662000000000001</v>
      </c>
      <c r="B13">
        <v>2E-3</v>
      </c>
    </row>
    <row r="14" spans="1:2" x14ac:dyDescent="0.2">
      <c r="A14">
        <v>0.11105</v>
      </c>
      <c r="B14">
        <v>2E-3</v>
      </c>
    </row>
    <row r="15" spans="1:2" x14ac:dyDescent="0.2">
      <c r="A15">
        <v>0.11105</v>
      </c>
      <c r="B15">
        <v>2E-3</v>
      </c>
    </row>
    <row r="16" spans="1:2" x14ac:dyDescent="0.2">
      <c r="A16">
        <v>0.11105</v>
      </c>
      <c r="B16">
        <v>2E-3</v>
      </c>
    </row>
    <row r="17" spans="1:2" x14ac:dyDescent="0.2">
      <c r="A17">
        <v>0.11105</v>
      </c>
      <c r="B17">
        <v>2E-3</v>
      </c>
    </row>
    <row r="18" spans="1:2" x14ac:dyDescent="0.2">
      <c r="A18">
        <v>0.11154</v>
      </c>
      <c r="B18">
        <v>2E-3</v>
      </c>
    </row>
    <row r="19" spans="1:2" x14ac:dyDescent="0.2">
      <c r="A19">
        <v>0.11154</v>
      </c>
      <c r="B19">
        <v>2E-3</v>
      </c>
    </row>
    <row r="20" spans="1:2" x14ac:dyDescent="0.2">
      <c r="A20">
        <v>0.11154</v>
      </c>
      <c r="B20">
        <v>2E-3</v>
      </c>
    </row>
    <row r="21" spans="1:2" x14ac:dyDescent="0.2">
      <c r="A21">
        <v>0.11154</v>
      </c>
      <c r="B21">
        <v>2E-3</v>
      </c>
    </row>
    <row r="22" spans="1:2" x14ac:dyDescent="0.2">
      <c r="A22">
        <v>0.12247</v>
      </c>
      <c r="B22">
        <v>3.0000000000000001E-3</v>
      </c>
    </row>
    <row r="23" spans="1:2" x14ac:dyDescent="0.2">
      <c r="A23">
        <v>0.12247</v>
      </c>
      <c r="B23">
        <v>3.0000000000000001E-3</v>
      </c>
    </row>
    <row r="24" spans="1:2" x14ac:dyDescent="0.2">
      <c r="A24">
        <v>0.12247</v>
      </c>
      <c r="B24">
        <v>3.0000000000000001E-3</v>
      </c>
    </row>
    <row r="25" spans="1:2" x14ac:dyDescent="0.2">
      <c r="A25">
        <v>0.12247</v>
      </c>
      <c r="B25">
        <v>3.0000000000000001E-3</v>
      </c>
    </row>
    <row r="26" spans="1:2" x14ac:dyDescent="0.2">
      <c r="A26">
        <v>0.13091</v>
      </c>
      <c r="B26">
        <v>3.5000000000000001E-3</v>
      </c>
    </row>
    <row r="27" spans="1:2" x14ac:dyDescent="0.2">
      <c r="A27">
        <v>0.13091</v>
      </c>
      <c r="B27">
        <v>3.5000000000000001E-3</v>
      </c>
    </row>
    <row r="28" spans="1:2" x14ac:dyDescent="0.2">
      <c r="A28">
        <v>0.13091</v>
      </c>
      <c r="B28">
        <v>3.5000000000000001E-3</v>
      </c>
    </row>
    <row r="29" spans="1:2" x14ac:dyDescent="0.2">
      <c r="A29">
        <v>0.13091</v>
      </c>
      <c r="B29">
        <v>3.5000000000000001E-3</v>
      </c>
    </row>
    <row r="30" spans="1:2" x14ac:dyDescent="0.2">
      <c r="A30">
        <v>0.13997999999999999</v>
      </c>
      <c r="B30">
        <v>3.5000000000000001E-3</v>
      </c>
    </row>
    <row r="31" spans="1:2" x14ac:dyDescent="0.2">
      <c r="A31">
        <v>0.13997999999999999</v>
      </c>
      <c r="B31">
        <v>3.5000000000000001E-3</v>
      </c>
    </row>
    <row r="32" spans="1:2" x14ac:dyDescent="0.2">
      <c r="A32">
        <v>0.13997999999999999</v>
      </c>
      <c r="B32">
        <v>3.5000000000000001E-3</v>
      </c>
    </row>
    <row r="33" spans="1:2" x14ac:dyDescent="0.2">
      <c r="A33">
        <v>0.13997999999999999</v>
      </c>
      <c r="B33">
        <v>3.5000000000000001E-3</v>
      </c>
    </row>
    <row r="34" spans="1:2" x14ac:dyDescent="0.2">
      <c r="A34">
        <v>0.14660000000000001</v>
      </c>
      <c r="B34">
        <v>4.0000000000000001E-3</v>
      </c>
    </row>
    <row r="35" spans="1:2" x14ac:dyDescent="0.2">
      <c r="A35">
        <v>0.14660000000000001</v>
      </c>
      <c r="B35">
        <v>4.0000000000000001E-3</v>
      </c>
    </row>
    <row r="36" spans="1:2" x14ac:dyDescent="0.2">
      <c r="A36">
        <v>0.14660000000000001</v>
      </c>
      <c r="B36">
        <v>4.0000000000000001E-3</v>
      </c>
    </row>
    <row r="37" spans="1:2" x14ac:dyDescent="0.2">
      <c r="A37">
        <v>0.14660000000000001</v>
      </c>
      <c r="B37">
        <v>4.0000000000000001E-3</v>
      </c>
    </row>
    <row r="38" spans="1:2" x14ac:dyDescent="0.2">
      <c r="A38">
        <v>0.13131999999999999</v>
      </c>
      <c r="B38">
        <v>3.5000000000000001E-3</v>
      </c>
    </row>
    <row r="39" spans="1:2" x14ac:dyDescent="0.2">
      <c r="A39">
        <v>0.13131999999999999</v>
      </c>
      <c r="B39">
        <v>3.5000000000000001E-3</v>
      </c>
    </row>
    <row r="40" spans="1:2" x14ac:dyDescent="0.2">
      <c r="A40">
        <v>0.13131999999999999</v>
      </c>
      <c r="B40">
        <v>3.5000000000000001E-3</v>
      </c>
    </row>
    <row r="41" spans="1:2" x14ac:dyDescent="0.2">
      <c r="A41">
        <v>0.13131999999999999</v>
      </c>
      <c r="B41">
        <v>3.5000000000000001E-3</v>
      </c>
    </row>
    <row r="42" spans="1:2" x14ac:dyDescent="0.2">
      <c r="A42">
        <v>0.11001000000000001</v>
      </c>
      <c r="B42">
        <v>4.0000000000000001E-3</v>
      </c>
    </row>
    <row r="43" spans="1:2" x14ac:dyDescent="0.2">
      <c r="A43">
        <v>0.11001000000000001</v>
      </c>
      <c r="B43">
        <v>4.0000000000000001E-3</v>
      </c>
    </row>
    <row r="44" spans="1:2" x14ac:dyDescent="0.2">
      <c r="A44">
        <v>0.11001000000000001</v>
      </c>
      <c r="B44">
        <v>4.0000000000000001E-3</v>
      </c>
    </row>
    <row r="45" spans="1:2" x14ac:dyDescent="0.2">
      <c r="A45">
        <v>0.11001000000000001</v>
      </c>
      <c r="B45">
        <v>4.0000000000000001E-3</v>
      </c>
    </row>
    <row r="46" spans="1:2" x14ac:dyDescent="0.2">
      <c r="A46">
        <v>9.9629999999999996E-2</v>
      </c>
      <c r="B46">
        <v>4.0000000000000001E-3</v>
      </c>
    </row>
    <row r="47" spans="1:2" x14ac:dyDescent="0.2">
      <c r="A47">
        <v>9.9629999999999996E-2</v>
      </c>
      <c r="B47">
        <v>4.0000000000000001E-3</v>
      </c>
    </row>
    <row r="48" spans="1:2" x14ac:dyDescent="0.2">
      <c r="A48">
        <v>9.9629999999999996E-2</v>
      </c>
      <c r="B48">
        <v>4.0000000000000001E-3</v>
      </c>
    </row>
    <row r="49" spans="1:2" x14ac:dyDescent="0.2">
      <c r="A49">
        <v>9.9629999999999996E-2</v>
      </c>
      <c r="B49">
        <v>4.0000000000000001E-3</v>
      </c>
    </row>
    <row r="50" spans="1:2" x14ac:dyDescent="0.2">
      <c r="A50">
        <v>9.8000000000000004E-2</v>
      </c>
      <c r="B50">
        <v>4.0000000000000001E-3</v>
      </c>
    </row>
    <row r="51" spans="1:2" x14ac:dyDescent="0.2">
      <c r="A51">
        <v>9.8000000000000004E-2</v>
      </c>
      <c r="B51">
        <v>4.0000000000000001E-3</v>
      </c>
    </row>
    <row r="52" spans="1:2" x14ac:dyDescent="0.2">
      <c r="A52">
        <v>9.8000000000000004E-2</v>
      </c>
      <c r="B52">
        <v>4.0000000000000001E-3</v>
      </c>
    </row>
    <row r="53" spans="1:2" x14ac:dyDescent="0.2">
      <c r="A53">
        <v>9.8000000000000004E-2</v>
      </c>
      <c r="B53">
        <v>4.0000000000000001E-3</v>
      </c>
    </row>
    <row r="54" spans="1:2" x14ac:dyDescent="0.2">
      <c r="A54">
        <v>9.8930000000000004E-2</v>
      </c>
      <c r="B54">
        <v>4.0000000000000001E-3</v>
      </c>
    </row>
    <row r="55" spans="1:2" x14ac:dyDescent="0.2">
      <c r="A55">
        <v>9.8930000000000004E-2</v>
      </c>
      <c r="B55">
        <v>4.0000000000000001E-3</v>
      </c>
    </row>
    <row r="56" spans="1:2" x14ac:dyDescent="0.2">
      <c r="A56">
        <v>9.8930000000000004E-2</v>
      </c>
      <c r="B56">
        <v>4.0000000000000001E-3</v>
      </c>
    </row>
    <row r="57" spans="1:2" x14ac:dyDescent="0.2">
      <c r="A57">
        <v>9.8930000000000004E-2</v>
      </c>
      <c r="B57">
        <v>4.0000000000000001E-3</v>
      </c>
    </row>
    <row r="58" spans="1:2" x14ac:dyDescent="0.2">
      <c r="A58">
        <v>9.8000000000000004E-2</v>
      </c>
      <c r="B58">
        <v>4.0000000000000001E-3</v>
      </c>
    </row>
    <row r="59" spans="1:2" x14ac:dyDescent="0.2">
      <c r="A59">
        <v>9.8000000000000004E-2</v>
      </c>
      <c r="B59">
        <v>4.0000000000000001E-3</v>
      </c>
    </row>
    <row r="60" spans="1:2" x14ac:dyDescent="0.2">
      <c r="A60">
        <v>9.8000000000000004E-2</v>
      </c>
      <c r="B60">
        <v>4.0000000000000001E-3</v>
      </c>
    </row>
    <row r="61" spans="1:2" x14ac:dyDescent="0.2">
      <c r="A61">
        <v>9.8000000000000004E-2</v>
      </c>
      <c r="B61">
        <v>4.0000000000000001E-3</v>
      </c>
    </row>
    <row r="62" spans="1:2" x14ac:dyDescent="0.2">
      <c r="A62">
        <v>9.8019999999999996E-2</v>
      </c>
      <c r="B62">
        <v>4.0000000000000001E-3</v>
      </c>
    </row>
    <row r="63" spans="1:2" x14ac:dyDescent="0.2">
      <c r="A63">
        <v>9.8019999999999996E-2</v>
      </c>
      <c r="B63">
        <v>4.0000000000000001E-3</v>
      </c>
    </row>
    <row r="64" spans="1:2" x14ac:dyDescent="0.2">
      <c r="A64">
        <v>9.8019999999999996E-2</v>
      </c>
      <c r="B64">
        <v>4.0000000000000001E-3</v>
      </c>
    </row>
    <row r="65" spans="1:2" x14ac:dyDescent="0.2">
      <c r="A65">
        <v>9.8019999999999996E-2</v>
      </c>
      <c r="B65">
        <v>4.0000000000000001E-3</v>
      </c>
    </row>
    <row r="66" spans="1:2" x14ac:dyDescent="0.2">
      <c r="A66">
        <v>0.10451000000000001</v>
      </c>
      <c r="B66">
        <v>1.5E-3</v>
      </c>
    </row>
    <row r="67" spans="1:2" x14ac:dyDescent="0.2">
      <c r="A67">
        <v>0.10451000000000001</v>
      </c>
      <c r="B67">
        <v>1.5E-3</v>
      </c>
    </row>
    <row r="68" spans="1:2" x14ac:dyDescent="0.2">
      <c r="A68">
        <v>0.10451000000000001</v>
      </c>
      <c r="B68">
        <v>1.5E-3</v>
      </c>
    </row>
    <row r="69" spans="1:2" x14ac:dyDescent="0.2">
      <c r="A69">
        <v>0.10451000000000001</v>
      </c>
      <c r="B69">
        <v>1.5E-3</v>
      </c>
    </row>
    <row r="70" spans="1:2" x14ac:dyDescent="0.2">
      <c r="A70">
        <v>0.12247</v>
      </c>
      <c r="B70">
        <v>1.5E-3</v>
      </c>
    </row>
    <row r="71" spans="1:2" x14ac:dyDescent="0.2">
      <c r="A71">
        <v>0.12247</v>
      </c>
      <c r="B71">
        <v>1.5E-3</v>
      </c>
    </row>
    <row r="72" spans="1:2" x14ac:dyDescent="0.2">
      <c r="A72">
        <v>0.12247</v>
      </c>
      <c r="B72">
        <v>1.5E-3</v>
      </c>
    </row>
    <row r="73" spans="1:2" x14ac:dyDescent="0.2">
      <c r="A73">
        <v>0.12247</v>
      </c>
      <c r="B73">
        <v>1.5E-3</v>
      </c>
    </row>
    <row r="74" spans="1:2" x14ac:dyDescent="0.2">
      <c r="A74">
        <v>0.13541999999999998</v>
      </c>
      <c r="B74">
        <v>1.5E-3</v>
      </c>
    </row>
    <row r="75" spans="1:2" x14ac:dyDescent="0.2">
      <c r="A75">
        <v>0.13541999999999998</v>
      </c>
      <c r="B75">
        <v>1.5E-3</v>
      </c>
    </row>
    <row r="76" spans="1:2" x14ac:dyDescent="0.2">
      <c r="A76">
        <v>0.13541999999999998</v>
      </c>
      <c r="B76">
        <v>1.5E-3</v>
      </c>
    </row>
    <row r="77" spans="1:2" x14ac:dyDescent="0.2">
      <c r="A77">
        <v>0.13541999999999998</v>
      </c>
      <c r="B77">
        <v>1.5E-3</v>
      </c>
    </row>
    <row r="78" spans="1:2" x14ac:dyDescent="0.2">
      <c r="A78">
        <v>0.15068999999999999</v>
      </c>
      <c r="B78">
        <v>1.5E-3</v>
      </c>
    </row>
    <row r="79" spans="1:2" x14ac:dyDescent="0.2">
      <c r="A79">
        <v>0.15068999999999999</v>
      </c>
      <c r="B79">
        <v>1.5E-3</v>
      </c>
    </row>
    <row r="80" spans="1:2" x14ac:dyDescent="0.2">
      <c r="A80">
        <v>0.15068999999999999</v>
      </c>
      <c r="B80">
        <v>1.5E-3</v>
      </c>
    </row>
    <row r="81" spans="1:2" x14ac:dyDescent="0.2">
      <c r="A81">
        <v>0.15068999999999999</v>
      </c>
      <c r="B81">
        <v>1.5E-3</v>
      </c>
    </row>
    <row r="82" spans="1:2" x14ac:dyDescent="0.2">
      <c r="A82">
        <v>0.16377</v>
      </c>
      <c r="B82">
        <v>1.5E-3</v>
      </c>
    </row>
    <row r="83" spans="1:2" x14ac:dyDescent="0.2">
      <c r="A83">
        <v>0.16377</v>
      </c>
      <c r="B83">
        <v>1.5E-3</v>
      </c>
    </row>
    <row r="84" spans="1:2" x14ac:dyDescent="0.2">
      <c r="A84">
        <v>0.16377</v>
      </c>
      <c r="B84">
        <v>1.5E-3</v>
      </c>
    </row>
    <row r="85" spans="1:2" x14ac:dyDescent="0.2">
      <c r="A85">
        <v>0.16377</v>
      </c>
      <c r="B85">
        <v>1.5E-3</v>
      </c>
    </row>
    <row r="86" spans="1:2" x14ac:dyDescent="0.2">
      <c r="A86">
        <v>0.16377</v>
      </c>
      <c r="B86">
        <v>1E-3</v>
      </c>
    </row>
    <row r="87" spans="1:2" x14ac:dyDescent="0.2">
      <c r="A87">
        <v>0.16377</v>
      </c>
      <c r="B87">
        <v>1E-3</v>
      </c>
    </row>
    <row r="88" spans="1:2" x14ac:dyDescent="0.2">
      <c r="A88">
        <v>0.16377</v>
      </c>
      <c r="B88">
        <v>1E-3</v>
      </c>
    </row>
    <row r="89" spans="1:2" x14ac:dyDescent="0.2">
      <c r="A89">
        <v>0.16377</v>
      </c>
      <c r="B89">
        <v>1E-3</v>
      </c>
    </row>
    <row r="90" spans="1:2" x14ac:dyDescent="0.2">
      <c r="A90">
        <v>0.14169999999999999</v>
      </c>
      <c r="B90">
        <v>1E-3</v>
      </c>
    </row>
    <row r="91" spans="1:2" x14ac:dyDescent="0.2">
      <c r="A91">
        <v>0.14169999999999999</v>
      </c>
      <c r="B91">
        <v>1E-3</v>
      </c>
    </row>
    <row r="92" spans="1:2" x14ac:dyDescent="0.2">
      <c r="A92">
        <v>0.14169999999999999</v>
      </c>
      <c r="B92">
        <v>1E-3</v>
      </c>
    </row>
    <row r="93" spans="1:2" x14ac:dyDescent="0.2">
      <c r="A93">
        <v>0.14169999999999999</v>
      </c>
      <c r="B93">
        <v>1E-3</v>
      </c>
    </row>
    <row r="94" spans="1:2" x14ac:dyDescent="0.2">
      <c r="A94">
        <v>0.13594999999999999</v>
      </c>
      <c r="B94">
        <v>1E-3</v>
      </c>
    </row>
    <row r="95" spans="1:2" x14ac:dyDescent="0.2">
      <c r="A95">
        <v>0.13594999999999999</v>
      </c>
      <c r="B95">
        <v>1E-3</v>
      </c>
    </row>
    <row r="96" spans="1:2" x14ac:dyDescent="0.2">
      <c r="A96">
        <v>0.13594999999999999</v>
      </c>
      <c r="B96">
        <v>1E-3</v>
      </c>
    </row>
    <row r="97" spans="1:2" x14ac:dyDescent="0.2">
      <c r="A97">
        <v>0.13594999999999999</v>
      </c>
      <c r="B97">
        <v>1E-3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AF43E-433B-9541-A9E2-D04DDC4167DD}">
  <dimension ref="A1:E7"/>
  <sheetViews>
    <sheetView workbookViewId="0">
      <selection activeCell="G2" sqref="G2:K7"/>
    </sheetView>
  </sheetViews>
  <sheetFormatPr baseColWidth="10" defaultRowHeight="16" x14ac:dyDescent="0.2"/>
  <sheetData>
    <row r="1" spans="1:5" x14ac:dyDescent="0.2">
      <c r="A1" t="s">
        <v>18</v>
      </c>
      <c r="B1" t="s">
        <v>19</v>
      </c>
      <c r="D1" t="s">
        <v>25</v>
      </c>
      <c r="E1" t="s">
        <v>26</v>
      </c>
    </row>
    <row r="2" spans="1:5" x14ac:dyDescent="0.2">
      <c r="A2">
        <v>0.12</v>
      </c>
      <c r="B2">
        <v>0.1</v>
      </c>
      <c r="D2">
        <v>1E-3</v>
      </c>
      <c r="E2">
        <v>5.0000000000000001E-4</v>
      </c>
    </row>
    <row r="3" spans="1:5" x14ac:dyDescent="0.2">
      <c r="A3">
        <v>0.14000000000000001</v>
      </c>
      <c r="B3">
        <v>0.11</v>
      </c>
      <c r="D3">
        <v>1E-3</v>
      </c>
      <c r="E3" s="4">
        <v>7.5000000000000002E-4</v>
      </c>
    </row>
    <row r="4" spans="1:5" x14ac:dyDescent="0.2">
      <c r="A4">
        <v>0.13</v>
      </c>
      <c r="B4">
        <v>0.11</v>
      </c>
      <c r="D4">
        <v>2E-3</v>
      </c>
      <c r="E4">
        <f>Prices!B4 - Prices!B4/2</f>
        <v>1E-3</v>
      </c>
    </row>
    <row r="5" spans="1:5" x14ac:dyDescent="0.2">
      <c r="A5">
        <v>0.11</v>
      </c>
      <c r="B5">
        <v>0.09</v>
      </c>
      <c r="D5">
        <v>1.5E-3</v>
      </c>
      <c r="E5">
        <f>Prices!B5 - Prices!B5/2</f>
        <v>1E-3</v>
      </c>
    </row>
    <row r="6" spans="1:5" x14ac:dyDescent="0.2">
      <c r="A6">
        <v>0.14000000000000001</v>
      </c>
      <c r="B6">
        <v>0.12</v>
      </c>
      <c r="D6">
        <v>3.0000000000000001E-3</v>
      </c>
      <c r="E6">
        <v>2E-3</v>
      </c>
    </row>
    <row r="7" spans="1:5" x14ac:dyDescent="0.2">
      <c r="A7">
        <v>0.17</v>
      </c>
      <c r="B7">
        <v>0.14000000000000001</v>
      </c>
      <c r="D7">
        <v>1E-3</v>
      </c>
      <c r="E7">
        <v>5.0000000000000001E-4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4FDC0-5E1F-3148-B8CF-D2EEA8F012AD}">
  <dimension ref="A1:E9"/>
  <sheetViews>
    <sheetView workbookViewId="0">
      <selection activeCell="D2" sqref="D2"/>
    </sheetView>
  </sheetViews>
  <sheetFormatPr baseColWidth="10" defaultRowHeight="16" x14ac:dyDescent="0.2"/>
  <sheetData>
    <row r="1" spans="1:5" x14ac:dyDescent="0.2">
      <c r="A1" s="4" t="s">
        <v>27</v>
      </c>
      <c r="B1" s="4" t="s">
        <v>28</v>
      </c>
      <c r="C1" s="4" t="s">
        <v>29</v>
      </c>
      <c r="D1" s="4" t="s">
        <v>30</v>
      </c>
      <c r="E1" s="4"/>
    </row>
    <row r="2" spans="1:5" x14ac:dyDescent="0.2">
      <c r="A2" s="4">
        <v>1</v>
      </c>
      <c r="B2" s="4">
        <v>1</v>
      </c>
      <c r="C2" s="4">
        <v>16</v>
      </c>
      <c r="D2" s="4">
        <f>C2-B2+1</f>
        <v>16</v>
      </c>
      <c r="E2" s="4"/>
    </row>
    <row r="3" spans="1:5" x14ac:dyDescent="0.2">
      <c r="A3" s="4">
        <v>2</v>
      </c>
      <c r="B3" s="4">
        <v>17</v>
      </c>
      <c r="C3" s="4">
        <v>32</v>
      </c>
      <c r="D3" s="4">
        <f>C3-B3+1</f>
        <v>16</v>
      </c>
      <c r="E3" s="4"/>
    </row>
    <row r="4" spans="1:5" x14ac:dyDescent="0.2">
      <c r="A4" s="4">
        <v>3</v>
      </c>
      <c r="B4" s="4">
        <v>33</v>
      </c>
      <c r="C4" s="4">
        <v>48</v>
      </c>
      <c r="D4" s="4">
        <f>C4-B4+1</f>
        <v>16</v>
      </c>
      <c r="E4" s="4"/>
    </row>
    <row r="5" spans="1:5" x14ac:dyDescent="0.2">
      <c r="A5" s="4">
        <v>4</v>
      </c>
      <c r="B5" s="4">
        <v>49</v>
      </c>
      <c r="C5" s="4">
        <v>64</v>
      </c>
      <c r="D5" s="4">
        <f>C5-B5+1</f>
        <v>16</v>
      </c>
      <c r="E5" s="4"/>
    </row>
    <row r="6" spans="1:5" x14ac:dyDescent="0.2">
      <c r="A6" s="4">
        <v>5</v>
      </c>
      <c r="B6" s="4">
        <v>65</v>
      </c>
      <c r="C6" s="4">
        <v>80</v>
      </c>
      <c r="D6" s="4">
        <f t="shared" ref="D6:D7" si="0">C6-B6+1</f>
        <v>16</v>
      </c>
      <c r="E6" s="4"/>
    </row>
    <row r="7" spans="1:5" x14ac:dyDescent="0.2">
      <c r="A7" s="4">
        <v>6</v>
      </c>
      <c r="B7" s="4">
        <v>81</v>
      </c>
      <c r="C7" s="4">
        <v>96</v>
      </c>
      <c r="D7" s="4">
        <f t="shared" si="0"/>
        <v>16</v>
      </c>
      <c r="E7" s="4"/>
    </row>
    <row r="8" spans="1:5" x14ac:dyDescent="0.2">
      <c r="A8" s="4"/>
      <c r="B8" s="4"/>
      <c r="C8" s="4"/>
      <c r="D8" s="4"/>
      <c r="E8" s="4"/>
    </row>
    <row r="9" spans="1:5" x14ac:dyDescent="0.2">
      <c r="D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8</vt:i4>
      </vt:variant>
    </vt:vector>
  </HeadingPairs>
  <TitlesOfParts>
    <vt:vector size="8" baseType="lpstr">
      <vt:lpstr>Buses</vt:lpstr>
      <vt:lpstr>Chargers</vt:lpstr>
      <vt:lpstr>Trip time</vt:lpstr>
      <vt:lpstr>Energy consumption</vt:lpstr>
      <vt:lpstr>Power price</vt:lpstr>
      <vt:lpstr>Prices</vt:lpstr>
      <vt:lpstr>Average prices</vt:lpstr>
      <vt:lpstr>Periods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Jônatas Augusto Manzolli</dc:creator>
  <cp:lastModifiedBy>Jônatas Augusto Manzolli</cp:lastModifiedBy>
  <dcterms:created xsi:type="dcterms:W3CDTF">2023-07-27T09:03:12Z</dcterms:created>
  <dcterms:modified xsi:type="dcterms:W3CDTF">2023-10-28T16:06:05Z</dcterms:modified>
</cp:coreProperties>
</file>